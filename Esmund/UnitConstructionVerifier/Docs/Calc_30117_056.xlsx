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brow263\ISG\19804\Unit\Skid 1\391Z009622-0011\091-30117-056_1\"/>
    </mc:Choice>
  </mc:AlternateContent>
  <xr:revisionPtr revIDLastSave="0" documentId="13_ncr:1_{63A6C445-FFB0-48EB-A33E-C1409CE1C8D1}" xr6:coauthVersionLast="47" xr6:coauthVersionMax="47" xr10:uidLastSave="{00000000-0000-0000-0000-000000000000}"/>
  <bookViews>
    <workbookView xWindow="2730" yWindow="2730" windowWidth="21600" windowHeight="12645" activeTab="1" xr2:uid="{00000000-000D-0000-FFFF-FFFF00000000}"/>
  </bookViews>
  <sheets>
    <sheet name="Sheet1" sheetId="1" r:id="rId1"/>
    <sheet name="Data" sheetId="2" r:id="rId2"/>
    <sheet name="Calcs" sheetId="3" r:id="rId3"/>
    <sheet name="Material" sheetId="4" r:id="rId4"/>
    <sheet name="Revision List" sheetId="5" r:id="rId5"/>
  </sheets>
  <externalReferences>
    <externalReference r:id="rId6"/>
  </externalReferences>
  <definedNames>
    <definedName name="AHUArrangment">[1]Data!$B$6</definedName>
    <definedName name="AngleThkO">[1]Data!$B$9</definedName>
    <definedName name="BuildForDXFOutput">Data!$B$15</definedName>
    <definedName name="Construction">[1]Data!$B$5</definedName>
    <definedName name="FLOOR_X_LENGTH">Calcs!$C$2</definedName>
    <definedName name="FLOOR_Z_LENGTH">Calcs!$C$3</definedName>
    <definedName name="FloorXLength">Data!$B$3</definedName>
    <definedName name="FloorZLength">Data!$B$4</definedName>
    <definedName name="FrontOverlapLength">Data!$B$8</definedName>
    <definedName name="HasFrontOverlap">Data!$B$7</definedName>
    <definedName name="HasLeftOverlap">Data!$B$11</definedName>
    <definedName name="HasRearOverlap">Data!$B$9</definedName>
    <definedName name="HasRightOverlap">Data!$B$13</definedName>
    <definedName name="LeftOverlapLength">Data!$B$12</definedName>
    <definedName name="Length">[1]Data!$B$3</definedName>
    <definedName name="MAT_LOOKUP">Calcs!$C$4</definedName>
    <definedName name="MATERIALSTYLE">[1]Data!$B$4</definedName>
    <definedName name="MaterialType">Data!$B$5</definedName>
    <definedName name="MaxBHHoleSpc">'[1]Excel Calcs'!$L$5</definedName>
    <definedName name="MaxBHHoleSpc_X">[1]Data!$B$8</definedName>
    <definedName name="MaxBHHoleSpc_Y">[1]Data!#REF!</definedName>
    <definedName name="Mtl_Gauge">Data!$B$6</definedName>
    <definedName name="NotchFront">Data!#REF!</definedName>
    <definedName name="NotchFrontLength">Data!#REF!</definedName>
    <definedName name="NotchLeft">Data!#REF!</definedName>
    <definedName name="NotchLeftLength">Data!#REF!</definedName>
    <definedName name="PanelLinerMaterialGage">Data!$B$6</definedName>
    <definedName name="RearOverlapLength">Data!$B$10</definedName>
    <definedName name="RightOverlapLength">Data!$B$14</definedName>
    <definedName name="Tier">[1]Data!$B$7</definedName>
    <definedName name="Width">[1]Data!#REF!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4" l="1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C14" i="3"/>
  <c r="C13" i="3"/>
  <c r="B12" i="1" s="1"/>
  <c r="C12" i="3"/>
  <c r="C11" i="3"/>
  <c r="C10" i="3"/>
  <c r="C9" i="3"/>
  <c r="B8" i="1" s="1"/>
  <c r="C8" i="3"/>
  <c r="C7" i="3"/>
  <c r="C4" i="3"/>
  <c r="C5" i="3" s="1"/>
  <c r="C3" i="3"/>
  <c r="B3" i="1" s="1"/>
  <c r="C2" i="3"/>
  <c r="B2" i="1" s="1"/>
  <c r="B13" i="1"/>
  <c r="B11" i="1"/>
  <c r="B10" i="1"/>
  <c r="B9" i="1"/>
  <c r="B7" i="1"/>
  <c r="B6" i="1"/>
  <c r="B4" i="1" l="1"/>
  <c r="C6" i="3"/>
  <c r="B5" i="1" s="1"/>
</calcChain>
</file>

<file path=xl/sharedStrings.xml><?xml version="1.0" encoding="utf-8"?>
<sst xmlns="http://schemas.openxmlformats.org/spreadsheetml/2006/main" count="1862" uniqueCount="650">
  <si>
    <t>Max Cut Size</t>
  </si>
  <si>
    <t>MAT_XT</t>
  </si>
  <si>
    <t>MAT_PNUM</t>
  </si>
  <si>
    <t>MAT_CUT</t>
  </si>
  <si>
    <t>YC</t>
  </si>
  <si>
    <t>GLVS157-</t>
  </si>
  <si>
    <t>22</t>
  </si>
  <si>
    <t>.028</t>
  </si>
  <si>
    <t>STL GALV3</t>
  </si>
  <si>
    <t>STL GALVR</t>
  </si>
  <si>
    <t>Gray Paint</t>
  </si>
  <si>
    <t>11</t>
  </si>
  <si>
    <t>008 02570 050</t>
  </si>
  <si>
    <t>.060</t>
  </si>
  <si>
    <t>.035</t>
  </si>
  <si>
    <t>.024</t>
  </si>
  <si>
    <t>005 07103 012</t>
  </si>
  <si>
    <t>SSLS048-</t>
  </si>
  <si>
    <t>.039</t>
  </si>
  <si>
    <t>1/4</t>
  </si>
  <si>
    <t>005 06154 000</t>
  </si>
  <si>
    <t>GLVP039E</t>
  </si>
  <si>
    <t>005 07118 018</t>
  </si>
  <si>
    <t>.50</t>
  </si>
  <si>
    <t>1/8</t>
  </si>
  <si>
    <t>Sheet,Perf,Al,47%,.080, 3003h14</t>
  </si>
  <si>
    <t>005 07114 020</t>
  </si>
  <si>
    <t xml:space="preserve">Sheet,Perf,304ss,40.3%,20ga </t>
  </si>
  <si>
    <t>R259</t>
  </si>
  <si>
    <t>GLVE146A</t>
  </si>
  <si>
    <t>005 07108 188</t>
  </si>
  <si>
    <t>LEFT_JOGGLE</t>
  </si>
  <si>
    <t>005 07111 041</t>
  </si>
  <si>
    <t>005 07280 003</t>
  </si>
  <si>
    <t>SSTS188B</t>
  </si>
  <si>
    <t xml:space="preserve">HR </t>
  </si>
  <si>
    <t>GLVS188S</t>
  </si>
  <si>
    <t>4. With the exception to standard R259 is that all Galvanized Steel will be Chemically Treated and oiled with a mineral based oil which is easily removable by vapor degreasing or mild alkaline cleaning with a hot water rinse.</t>
  </si>
  <si>
    <t>B</t>
  </si>
  <si>
    <t>GLVPP056B</t>
  </si>
  <si>
    <t>MaterialType</t>
  </si>
  <si>
    <t>48 X 144</t>
  </si>
  <si>
    <t>.097</t>
  </si>
  <si>
    <t>GLVS097-</t>
  </si>
  <si>
    <t>Channel,Rf,16ga,Glv,5.67w_Flat, YC 3" Housing Channel</t>
  </si>
  <si>
    <t>Galvanized Steel, Coil, XT Seam Cap</t>
  </si>
  <si>
    <t>Sheet, Pre-Paint</t>
  </si>
  <si>
    <t xml:space="preserve">Sheet,Pre-Paint,Gray,14ga </t>
  </si>
  <si>
    <t xml:space="preserve">M-310 </t>
  </si>
  <si>
    <t>.068</t>
  </si>
  <si>
    <t>AL</t>
  </si>
  <si>
    <t xml:space="preserve">Sheet,Al,3003h14,.125         </t>
  </si>
  <si>
    <t>005 06146 008</t>
  </si>
  <si>
    <t>.075</t>
  </si>
  <si>
    <t>005 06146 022</t>
  </si>
  <si>
    <t>005 07103 016</t>
  </si>
  <si>
    <t>Sheet, Structural</t>
  </si>
  <si>
    <t>005 02897 000</t>
  </si>
  <si>
    <t>GALV PRFA</t>
  </si>
  <si>
    <t>3/8</t>
  </si>
  <si>
    <t>GALV PRFE</t>
  </si>
  <si>
    <t>5/8</t>
  </si>
  <si>
    <t>.188</t>
  </si>
  <si>
    <t xml:space="preserve">Sheet,Perf,Glv,40.3%,22ga </t>
  </si>
  <si>
    <t>Sheet, Perf, AL</t>
  </si>
  <si>
    <t>R1116</t>
  </si>
  <si>
    <t>7/32</t>
  </si>
  <si>
    <t>008 02573 080</t>
  </si>
  <si>
    <t>SST304PC</t>
  </si>
  <si>
    <t>.25</t>
  </si>
  <si>
    <t>005 07117 018</t>
  </si>
  <si>
    <t>ALM EXP</t>
  </si>
  <si>
    <t>005 06588 100</t>
  </si>
  <si>
    <t>ALM EMB</t>
  </si>
  <si>
    <t>Grating,19-W-4,1h_.13thk ,Hot Dipped Glv Grating</t>
  </si>
  <si>
    <t>19</t>
  </si>
  <si>
    <t>GALV CLOTH</t>
  </si>
  <si>
    <t>Plate,Dia,Alu,.125_3003 Bright</t>
  </si>
  <si>
    <t>Plate,Dia,304ss,.125</t>
  </si>
  <si>
    <t>005 07107 188</t>
  </si>
  <si>
    <t xml:space="preserve">Plate,Steel,0.375 </t>
  </si>
  <si>
    <t>HasRightOverlap</t>
  </si>
  <si>
    <t>Any vaild gauge thickness</t>
  </si>
  <si>
    <t>Sheet,Pre-Paint,Champagne,20ga</t>
  </si>
  <si>
    <t>008 02570 090</t>
  </si>
  <si>
    <t>ALUE063A</t>
  </si>
  <si>
    <t>Plate,Dia,Al,.063_3003</t>
  </si>
  <si>
    <t>Plate, 304L, SS, .188, 2B, ASTM A240</t>
  </si>
  <si>
    <t>R786</t>
  </si>
  <si>
    <t>Updated Material List to UnCo - 006 Latest Version</t>
  </si>
  <si>
    <t>STLHR112A</t>
  </si>
  <si>
    <t>Material Type</t>
  </si>
  <si>
    <t>York "R" Std</t>
  </si>
  <si>
    <t>Unit of Measure</t>
  </si>
  <si>
    <t>005 06145 008</t>
  </si>
  <si>
    <t>005 06145 022</t>
  </si>
  <si>
    <t>4.67 X Lg</t>
  </si>
  <si>
    <t>005 07110 016</t>
  </si>
  <si>
    <t>Sheet,Pre-Paint,Champagne,16ga</t>
  </si>
  <si>
    <t>005 07110 118</t>
  </si>
  <si>
    <t>Sheet,Pre-Paint,Champagne,18ga</t>
  </si>
  <si>
    <t>ALUS190A</t>
  </si>
  <si>
    <t>SSTL060-</t>
  </si>
  <si>
    <t>Sheet Products, Structural</t>
  </si>
  <si>
    <t>Structural Galvanized Steel</t>
  </si>
  <si>
    <t>GLVP034A</t>
  </si>
  <si>
    <t>Sheet,Exp_Mtl,Glv,11ga, .75 Flattened, #9</t>
  </si>
  <si>
    <t>SST304E</t>
  </si>
  <si>
    <t>005 07108 014</t>
  </si>
  <si>
    <t xml:space="preserve">Plate,Dia,Hot-Rolled,.125 </t>
  </si>
  <si>
    <t>Plate,Dia,Al,.125_3003</t>
  </si>
  <si>
    <t>008 02596 101</t>
  </si>
  <si>
    <t>ALUD188B</t>
  </si>
  <si>
    <t>STL PLATE</t>
  </si>
  <si>
    <t>005 07119 313</t>
  </si>
  <si>
    <t>Length of Floor along X-Axis</t>
  </si>
  <si>
    <t>FLOOR_Z_LENGTH</t>
  </si>
  <si>
    <t>HasLeftJoggle</t>
  </si>
  <si>
    <t>LeftJoggleLength</t>
  </si>
  <si>
    <t>HasRightJoggle</t>
  </si>
  <si>
    <t>HasRearOverlap</t>
  </si>
  <si>
    <t xml:space="preserve">Sheet,Al,3003h14,.090         </t>
  </si>
  <si>
    <t>ALUD063A</t>
  </si>
  <si>
    <t>STPL313A</t>
  </si>
  <si>
    <t>60x144</t>
  </si>
  <si>
    <t>STHR188S</t>
  </si>
  <si>
    <t>ALM PLATE</t>
  </si>
  <si>
    <t>ALPL188A</t>
  </si>
  <si>
    <t>Active Product "XT"</t>
  </si>
  <si>
    <t>Inventor Material Designation</t>
  </si>
  <si>
    <t>Hole Size / Texture</t>
  </si>
  <si>
    <t>MAT_GA</t>
  </si>
  <si>
    <t>MAT_MINT</t>
  </si>
  <si>
    <t>MAT_DESC</t>
  </si>
  <si>
    <t>MAT_DXF</t>
  </si>
  <si>
    <t>Sheet Products, Solid</t>
  </si>
  <si>
    <t>GLVS045A</t>
  </si>
  <si>
    <t>Channel,Rf,16ga,Glv,4.67w_Flat, YC 2" Housing Channel</t>
  </si>
  <si>
    <t>5.67 X Lg</t>
  </si>
  <si>
    <t>GLVS056D</t>
  </si>
  <si>
    <t>Sheet,Pre-Paint,Msftwhite,18ga</t>
  </si>
  <si>
    <t>STL HOT ROLL</t>
  </si>
  <si>
    <t>.112</t>
  </si>
  <si>
    <t>R-777</t>
  </si>
  <si>
    <t>ALUS050A</t>
  </si>
  <si>
    <t>.105</t>
  </si>
  <si>
    <t>SSLS135-</t>
  </si>
  <si>
    <t>005 07104 020</t>
  </si>
  <si>
    <t xml:space="preserve">Sheet,Perf,Glv,40.3%,20ga </t>
  </si>
  <si>
    <t>ALUP063A</t>
  </si>
  <si>
    <t>ALUP080B</t>
  </si>
  <si>
    <t>SSTP060B</t>
  </si>
  <si>
    <t>1-1/2" wide diamond</t>
  </si>
  <si>
    <t>005 06579 100</t>
  </si>
  <si>
    <t>48 x 96</t>
  </si>
  <si>
    <t>SSTE146-</t>
  </si>
  <si>
    <t>008 02571 080</t>
  </si>
  <si>
    <t>36 X 96</t>
  </si>
  <si>
    <t>7</t>
  </si>
  <si>
    <t xml:space="preserve">Plate,Dia,Al,.188_3003   </t>
  </si>
  <si>
    <t>005 06169 010</t>
  </si>
  <si>
    <t>GLVC034A</t>
  </si>
  <si>
    <t>Plate,Steel 0.188</t>
  </si>
  <si>
    <t>005 07119 375</t>
  </si>
  <si>
    <t>ECN Number</t>
  </si>
  <si>
    <t>MH</t>
  </si>
  <si>
    <t>REAR_JOGGLE</t>
  </si>
  <si>
    <t>Front Joggle</t>
  </si>
  <si>
    <t>R-14</t>
  </si>
  <si>
    <t>GLPP034A</t>
  </si>
  <si>
    <t>ALUS090A</t>
  </si>
  <si>
    <t>3</t>
  </si>
  <si>
    <t>STPL500A</t>
  </si>
  <si>
    <t>005 07279 002</t>
  </si>
  <si>
    <t>005 01681 002</t>
  </si>
  <si>
    <t>GLVPP070A</t>
  </si>
  <si>
    <t>STLHR068A</t>
  </si>
  <si>
    <t>Solution Project, Raw material codes and calculations, Sheet or Coil stock, Square Foot</t>
  </si>
  <si>
    <t>MAT_RSTD</t>
  </si>
  <si>
    <t>MAT_DESG</t>
  </si>
  <si>
    <t>.156</t>
  </si>
  <si>
    <t>R259 w/ note 4</t>
  </si>
  <si>
    <t>SF</t>
  </si>
  <si>
    <t>001 07591 567</t>
  </si>
  <si>
    <t>6.67 X Lg</t>
  </si>
  <si>
    <t>STL GALVS</t>
  </si>
  <si>
    <t>48 x Lg</t>
  </si>
  <si>
    <t>.127</t>
  </si>
  <si>
    <t>12</t>
  </si>
  <si>
    <t>008 02570 040</t>
  </si>
  <si>
    <t>.050</t>
  </si>
  <si>
    <t>16</t>
  </si>
  <si>
    <t>005 06146 012</t>
  </si>
  <si>
    <t>.029</t>
  </si>
  <si>
    <t xml:space="preserve">Sheet,316lss, 14ga </t>
  </si>
  <si>
    <t>SSLS075-</t>
  </si>
  <si>
    <t>SSLS035-</t>
  </si>
  <si>
    <t>005 07115 018</t>
  </si>
  <si>
    <t>Sheet, Perf, SST</t>
  </si>
  <si>
    <t>SSTP048B</t>
  </si>
  <si>
    <t>SSTP035A</t>
  </si>
  <si>
    <t>GLVE146B</t>
  </si>
  <si>
    <t>GALV EXPBY</t>
  </si>
  <si>
    <t>005 07109 011</t>
  </si>
  <si>
    <t>GLVE120-</t>
  </si>
  <si>
    <t>Sheet, Expanded, AL</t>
  </si>
  <si>
    <t>008 02335 000</t>
  </si>
  <si>
    <t>Aluminum Sht (Expanded/Flattened) 1/2 No..081 5005-H34</t>
  </si>
  <si>
    <t>.28x.94 diamond</t>
  </si>
  <si>
    <t>Stucco Finish</t>
  </si>
  <si>
    <t>GLVG100A</t>
  </si>
  <si>
    <t>.04</t>
  </si>
  <si>
    <t>HRSD097-</t>
  </si>
  <si>
    <t>ALM DIA</t>
  </si>
  <si>
    <t>.250</t>
  </si>
  <si>
    <t>in</t>
  </si>
  <si>
    <t>FloorXLength</t>
  </si>
  <si>
    <t>NEW</t>
  </si>
  <si>
    <t>Comments</t>
  </si>
  <si>
    <t>Rear Joggle Length</t>
  </si>
  <si>
    <t>Mtl_Gauge</t>
  </si>
  <si>
    <t>.090</t>
  </si>
  <si>
    <t>60 x 144</t>
  </si>
  <si>
    <t>SST304 CLOTH</t>
  </si>
  <si>
    <t>000</t>
  </si>
  <si>
    <t>Plate,Structural, G90 .188, GR 50 ASTM A572</t>
  </si>
  <si>
    <t>3. The max sheet size is 60 X 144 inches for sheet stock material</t>
  </si>
  <si>
    <t>Parameter</t>
  </si>
  <si>
    <t>Metal Thickness Min.</t>
  </si>
  <si>
    <t>STL GALV</t>
  </si>
  <si>
    <t>.069</t>
  </si>
  <si>
    <t>GLVS028-</t>
  </si>
  <si>
    <t>STL GALV4</t>
  </si>
  <si>
    <t>005 06161 001</t>
  </si>
  <si>
    <t>005 07113 010</t>
  </si>
  <si>
    <t xml:space="preserve">Sheet,Al,3003h14,.040         </t>
  </si>
  <si>
    <t>008 02570 080</t>
  </si>
  <si>
    <t>SSTS165-</t>
  </si>
  <si>
    <t>SSTS105-</t>
  </si>
  <si>
    <t>005 06146 016</t>
  </si>
  <si>
    <t>304L</t>
  </si>
  <si>
    <t xml:space="preserve">Sheet,304lss,16ga </t>
  </si>
  <si>
    <t>316L</t>
  </si>
  <si>
    <t xml:space="preserve">Sheet,316lss, 22ga </t>
  </si>
  <si>
    <t>005 06596 010</t>
  </si>
  <si>
    <t>Sheet, Perf</t>
  </si>
  <si>
    <t>GALV PRFF</t>
  </si>
  <si>
    <t xml:space="preserve">Sheet,Perf,Glv,47%,18ga </t>
  </si>
  <si>
    <t>008 02573 063</t>
  </si>
  <si>
    <t>005 07114 018</t>
  </si>
  <si>
    <t>Sheet Products, Expanded or Textured</t>
  </si>
  <si>
    <t>005 06150 000</t>
  </si>
  <si>
    <t>008 02168 000</t>
  </si>
  <si>
    <t>Grating</t>
  </si>
  <si>
    <t>001 07516 000</t>
  </si>
  <si>
    <t>Plate, Diamond, HR</t>
  </si>
  <si>
    <t>Plate, Diamond, SST</t>
  </si>
  <si>
    <t>Sheet, Corrugated</t>
  </si>
  <si>
    <t>Galvanized Steel, Corrugated, 4” Box Rib Profile</t>
  </si>
  <si>
    <t>Plate, Steel</t>
  </si>
  <si>
    <t xml:space="preserve">Plate,Steel,0.5 </t>
  </si>
  <si>
    <t>BuildForDXFOutput</t>
  </si>
  <si>
    <t>RightJoggleLength</t>
  </si>
  <si>
    <t>REAR_JOGGLE_LENGTH</t>
  </si>
  <si>
    <t>Front Joggle Length</t>
  </si>
  <si>
    <t xml:space="preserve">Sheet,409ss,20ga              </t>
  </si>
  <si>
    <t>SST4035-</t>
  </si>
  <si>
    <t>STHR127S</t>
  </si>
  <si>
    <t>Cloth, Hdw, 304ss, .5 x .5 x .041</t>
  </si>
  <si>
    <t>23-11436</t>
  </si>
  <si>
    <t>MAT_YC</t>
  </si>
  <si>
    <t>MAT_TYPE</t>
  </si>
  <si>
    <t>MAT_HLSZ</t>
  </si>
  <si>
    <t>005 06145 012</t>
  </si>
  <si>
    <t>005 06145 016</t>
  </si>
  <si>
    <t>005 06160 001</t>
  </si>
  <si>
    <t>Msftwhite Paint</t>
  </si>
  <si>
    <t>005 07113 014</t>
  </si>
  <si>
    <t>ALUS125A</t>
  </si>
  <si>
    <t>SSTS029-</t>
  </si>
  <si>
    <t xml:space="preserve">Sheet,316lss, 12ga </t>
  </si>
  <si>
    <t>005 06596 014</t>
  </si>
  <si>
    <t>Sheet,Perf,Al,40.3%,.050, 3003h14</t>
  </si>
  <si>
    <t>Sheet, Expanded</t>
  </si>
  <si>
    <t xml:space="preserve">Sheet,Exp_Mtl,Ss,304,9ga,1.5 Flattened </t>
  </si>
  <si>
    <t>Sheet,Al_Text,3003h134,.080_Stucco</t>
  </si>
  <si>
    <t>Grating,19-S-4,1h_.13thk ,Stainless Steel Grating</t>
  </si>
  <si>
    <t>ALM GRATE</t>
  </si>
  <si>
    <t>1" 19-Ap-4</t>
  </si>
  <si>
    <t>008 02572 125</t>
  </si>
  <si>
    <t>008 02596 102</t>
  </si>
  <si>
    <t>Plate,Dia,304ss,.188</t>
  </si>
  <si>
    <t>Sheet Products, Corrugated</t>
  </si>
  <si>
    <t>RightOverlapLength</t>
  </si>
  <si>
    <t>FRONT_JOGGLE</t>
  </si>
  <si>
    <t>Structural, Hot-Rolled, 10Ga, Grade 50</t>
  </si>
  <si>
    <t>Al,3003-H14,.063, Stucco Emb Alum</t>
  </si>
  <si>
    <t>008 02572 063</t>
  </si>
  <si>
    <t>0</t>
  </si>
  <si>
    <t>005 06596 007</t>
  </si>
  <si>
    <t>1. All sheet or coil stock raw material will be calculated in Square Foot, (Width" X Length") / 144 = SQ. FT.</t>
  </si>
  <si>
    <t>STLHR127A</t>
  </si>
  <si>
    <t>005 07348 020</t>
  </si>
  <si>
    <t>Metal Gauge</t>
  </si>
  <si>
    <t>Inventor Thickness Key_PK</t>
  </si>
  <si>
    <t>GLVS056A</t>
  </si>
  <si>
    <t>.022</t>
  </si>
  <si>
    <t>GLVS056E</t>
  </si>
  <si>
    <t>GLVS045B</t>
  </si>
  <si>
    <t>Galvanized Steel, Coil, XT Raceway</t>
  </si>
  <si>
    <t>48 X 96</t>
  </si>
  <si>
    <t>8</t>
  </si>
  <si>
    <t>005 07104 010</t>
  </si>
  <si>
    <t>005 07104 014</t>
  </si>
  <si>
    <t>STRUCT GALV</t>
  </si>
  <si>
    <t>48 X Lg</t>
  </si>
  <si>
    <t>GLVP045A</t>
  </si>
  <si>
    <t>005 07115 022</t>
  </si>
  <si>
    <t>ALM PRF</t>
  </si>
  <si>
    <t>ALUP050A</t>
  </si>
  <si>
    <t>GALV EXPA</t>
  </si>
  <si>
    <t>Sheet,Exp_Mtl,Glv,G90,9ga, 1.5 Flattened</t>
  </si>
  <si>
    <t>.120</t>
  </si>
  <si>
    <t>001 07515 000</t>
  </si>
  <si>
    <t>Sheet, Cloth</t>
  </si>
  <si>
    <t xml:space="preserve">Plate,Dia,Hot-Rolled,.188 </t>
  </si>
  <si>
    <t>HRSD188-</t>
  </si>
  <si>
    <t>Plate, Diamond, AL</t>
  </si>
  <si>
    <t>Plate,Steel,0.25</t>
  </si>
  <si>
    <t>.313</t>
  </si>
  <si>
    <t>MaterialThickness</t>
  </si>
  <si>
    <t>HasRearJoggle</t>
  </si>
  <si>
    <t>By</t>
  </si>
  <si>
    <t>Right Joggle Length</t>
  </si>
  <si>
    <t>Sheet Structural</t>
  </si>
  <si>
    <t>005 07280 001</t>
  </si>
  <si>
    <t>STHR250S</t>
  </si>
  <si>
    <t>ALPL250A</t>
  </si>
  <si>
    <t>Plate, Structural</t>
  </si>
  <si>
    <t>Galvanized Steel</t>
  </si>
  <si>
    <t>.055</t>
  </si>
  <si>
    <t>.044</t>
  </si>
  <si>
    <t>.033</t>
  </si>
  <si>
    <t>24</t>
  </si>
  <si>
    <t>Roll Form Coil</t>
  </si>
  <si>
    <t>2.491 X Lg</t>
  </si>
  <si>
    <t>48 X 120</t>
  </si>
  <si>
    <t>20</t>
  </si>
  <si>
    <t>.040</t>
  </si>
  <si>
    <t>48 x 144</t>
  </si>
  <si>
    <t>.080</t>
  </si>
  <si>
    <t>008 02570 125</t>
  </si>
  <si>
    <t>Stainless steel</t>
  </si>
  <si>
    <t>.135</t>
  </si>
  <si>
    <t>.048</t>
  </si>
  <si>
    <t>005 06146 020</t>
  </si>
  <si>
    <t xml:space="preserve">Sheet,316lss, 10ga </t>
  </si>
  <si>
    <t>005 07104 018</t>
  </si>
  <si>
    <t>GLVS126S</t>
  </si>
  <si>
    <t>GLVS070S</t>
  </si>
  <si>
    <t>Sheet,Perf,Al,40.3%,.063, 3003h14</t>
  </si>
  <si>
    <t xml:space="preserve">Sheet,Perf,304ss,40.3%,18ga </t>
  </si>
  <si>
    <t xml:space="preserve">Sheet,Perf,304ss,47%,18ga </t>
  </si>
  <si>
    <t>.146</t>
  </si>
  <si>
    <t>GLVE146C</t>
  </si>
  <si>
    <t>Al,3105h14,.040, Stucco Emb Alum</t>
  </si>
  <si>
    <t>001 07514 000</t>
  </si>
  <si>
    <t>GALV GRATE</t>
  </si>
  <si>
    <t>ALUD250B</t>
  </si>
  <si>
    <t>SSTD125-</t>
  </si>
  <si>
    <t>FloorZLength</t>
  </si>
  <si>
    <t>JoggleHeight</t>
  </si>
  <si>
    <t>FLOOR_X_LENGTH</t>
  </si>
  <si>
    <t>LeftOverlapLength</t>
  </si>
  <si>
    <t>Left Joggle</t>
  </si>
  <si>
    <t>DML</t>
  </si>
  <si>
    <t>GLVPP045A</t>
  </si>
  <si>
    <t>MAT_DEST</t>
  </si>
  <si>
    <t>005 07110 014</t>
  </si>
  <si>
    <t>Champagne Paint</t>
  </si>
  <si>
    <t>005 07113 011</t>
  </si>
  <si>
    <t xml:space="preserve">Sheet,Hot-Rolled,14ga </t>
  </si>
  <si>
    <t>008 02570 063</t>
  </si>
  <si>
    <t>008 02570 190</t>
  </si>
  <si>
    <t>SSTS060-</t>
  </si>
  <si>
    <t>005 06146 024</t>
  </si>
  <si>
    <t xml:space="preserve">Sheet,304lss,12ga </t>
  </si>
  <si>
    <t>13/16</t>
  </si>
  <si>
    <t>GALV PRFG</t>
  </si>
  <si>
    <t>.688</t>
  </si>
  <si>
    <t xml:space="preserve">Sheet,Perf,Al,40.3%,.080, 3003h14 </t>
  </si>
  <si>
    <t>SST304PA</t>
  </si>
  <si>
    <t>SSTP048C</t>
  </si>
  <si>
    <t>Galvanized Steel (Expanded/Flattened) 3/4 No. 9</t>
  </si>
  <si>
    <t>SSTG100A</t>
  </si>
  <si>
    <t>ALUG100A</t>
  </si>
  <si>
    <t>Raised Lug</t>
  </si>
  <si>
    <t>008 02572 100</t>
  </si>
  <si>
    <t>ALUD125A</t>
  </si>
  <si>
    <t>ALMB DIA</t>
  </si>
  <si>
    <t xml:space="preserve">Plate,Dia,Alu,.25_3003 Bright </t>
  </si>
  <si>
    <t>GALV CORA</t>
  </si>
  <si>
    <t>SSTS188-</t>
  </si>
  <si>
    <t xml:space="preserve">Plate,Steel,0.313 </t>
  </si>
  <si>
    <t>.375</t>
  </si>
  <si>
    <t>FrontJoggleLength</t>
  </si>
  <si>
    <t>Revision</t>
  </si>
  <si>
    <t>Right Joggle</t>
  </si>
  <si>
    <t>409</t>
  </si>
  <si>
    <t>STPL188A</t>
  </si>
  <si>
    <t>0000000</t>
  </si>
  <si>
    <t>Plate, ALM</t>
  </si>
  <si>
    <t xml:space="preserve">Plate, AL, .190, 5052 H32 </t>
  </si>
  <si>
    <t>Material description</t>
  </si>
  <si>
    <t>MAT_KEYT</t>
  </si>
  <si>
    <t>XT</t>
  </si>
  <si>
    <t>G90</t>
  </si>
  <si>
    <t>-</t>
  </si>
  <si>
    <t>005 06145 020</t>
  </si>
  <si>
    <t>005 06145 024</t>
  </si>
  <si>
    <t>005 07110 116</t>
  </si>
  <si>
    <t>Sheet, HR</t>
  </si>
  <si>
    <t>R52</t>
  </si>
  <si>
    <t>SSTS048-</t>
  </si>
  <si>
    <t>SSTS024-</t>
  </si>
  <si>
    <t>R1190</t>
  </si>
  <si>
    <t>R1045</t>
  </si>
  <si>
    <t>Aluminum Sheet (perf)</t>
  </si>
  <si>
    <t>ALM PRFA</t>
  </si>
  <si>
    <t>005 07116 016</t>
  </si>
  <si>
    <t>005 07120 011</t>
  </si>
  <si>
    <t>SSTE120-</t>
  </si>
  <si>
    <t>1</t>
  </si>
  <si>
    <t>SST304G</t>
  </si>
  <si>
    <t>GLVC040A</t>
  </si>
  <si>
    <t>005 07108 012</t>
  </si>
  <si>
    <t>STL DIA HR</t>
  </si>
  <si>
    <t>005 07108 125</t>
  </si>
  <si>
    <t>008 02596 103</t>
  </si>
  <si>
    <t>005 06146 188</t>
  </si>
  <si>
    <t>005 07119 500</t>
  </si>
  <si>
    <t>HasFrontJoggle</t>
  </si>
  <si>
    <t>RearJoggleLength</t>
  </si>
  <si>
    <t>INPUTS</t>
  </si>
  <si>
    <t>Description</t>
  </si>
  <si>
    <t>Thickness of floor</t>
  </si>
  <si>
    <t>Joggle Height</t>
  </si>
  <si>
    <t>SST409</t>
  </si>
  <si>
    <t>STPL375A</t>
  </si>
  <si>
    <t>Plate, Structural, HR, .188, GR 50, ASTM A572</t>
  </si>
  <si>
    <t>Plate, Structural, HR, .250, GR 50, ASTM A572</t>
  </si>
  <si>
    <t>Design Thickness (Ref)</t>
  </si>
  <si>
    <t>MAT_LOOKUP</t>
  </si>
  <si>
    <t>MAT_GRP</t>
  </si>
  <si>
    <t>GLVS126-</t>
  </si>
  <si>
    <t>GLVS056B</t>
  </si>
  <si>
    <t>STL GALV PPC</t>
  </si>
  <si>
    <t xml:space="preserve">Sheet,Hot-Rolled,12ga </t>
  </si>
  <si>
    <t>ALUS040A</t>
  </si>
  <si>
    <t xml:space="preserve">Sheet,Al,3003h14,.050         </t>
  </si>
  <si>
    <t>ALUS080A</t>
  </si>
  <si>
    <t>SSLS105-</t>
  </si>
  <si>
    <t>005 07104 022</t>
  </si>
  <si>
    <t>005 02901 000</t>
  </si>
  <si>
    <t>005 07115 016</t>
  </si>
  <si>
    <t xml:space="preserve">Sheet,Perf,Glv,40.3%,18ga </t>
  </si>
  <si>
    <t>GLVP028A</t>
  </si>
  <si>
    <t>ALUP050B</t>
  </si>
  <si>
    <t xml:space="preserve">Sheet,Perf,304ss,40.3%,16ga </t>
  </si>
  <si>
    <t>9</t>
  </si>
  <si>
    <t>005 06579 000</t>
  </si>
  <si>
    <t>GALV EXPB</t>
  </si>
  <si>
    <t>Sheet,Exp_Mtl,304ss,11ga, .75 flattened #9</t>
  </si>
  <si>
    <t>Embossed AL</t>
  </si>
  <si>
    <t>1"High</t>
  </si>
  <si>
    <t>Cloth, Hdw, Glv, .5 x .5 x .04</t>
  </si>
  <si>
    <t>008 02572 188</t>
  </si>
  <si>
    <t>Corrugated</t>
  </si>
  <si>
    <t>RIGHT_JOGGLE</t>
  </si>
  <si>
    <t>Rear Joggle</t>
  </si>
  <si>
    <t>005 07280 002</t>
  </si>
  <si>
    <t>Active Product "YC"</t>
  </si>
  <si>
    <t>Mapics Part Number</t>
  </si>
  <si>
    <t>Staggered Centers</t>
  </si>
  <si>
    <t>.125</t>
  </si>
  <si>
    <t>GLVS070-</t>
  </si>
  <si>
    <t>.034</t>
  </si>
  <si>
    <t>GLVS034-</t>
  </si>
  <si>
    <t>GLVS022-</t>
  </si>
  <si>
    <t>001 07591 467</t>
  </si>
  <si>
    <t>STL GALV2</t>
  </si>
  <si>
    <t>001 07591 667</t>
  </si>
  <si>
    <t>P-Paint</t>
  </si>
  <si>
    <t>STL GALV PPG</t>
  </si>
  <si>
    <t>10</t>
  </si>
  <si>
    <t xml:space="preserve">Sheet,Hot-Rolled,11ga </t>
  </si>
  <si>
    <t>14</t>
  </si>
  <si>
    <t>.063</t>
  </si>
  <si>
    <t xml:space="preserve">Sheet,Al,3003h14,.080         </t>
  </si>
  <si>
    <t>.190</t>
  </si>
  <si>
    <t>.165</t>
  </si>
  <si>
    <t>304</t>
  </si>
  <si>
    <t>005 06146 010</t>
  </si>
  <si>
    <t>Sheet Products, Perforated</t>
  </si>
  <si>
    <t>5/16</t>
  </si>
  <si>
    <t>GLVP039D</t>
  </si>
  <si>
    <t>008 02573 050</t>
  </si>
  <si>
    <t>3/4" wide diamond</t>
  </si>
  <si>
    <t>Sheet, Expanded, SST</t>
  </si>
  <si>
    <t>Sheet, AL, Emb</t>
  </si>
  <si>
    <t>Sheet Products, Diamond Tread Plate</t>
  </si>
  <si>
    <t xml:space="preserve">Plate,Dia,Hot-Rolled,14ga </t>
  </si>
  <si>
    <t>Plate,Dia,Al,.100_3003</t>
  </si>
  <si>
    <t>005 07107 125</t>
  </si>
  <si>
    <t>SSTD188-</t>
  </si>
  <si>
    <t>Plate Products, Solid</t>
  </si>
  <si>
    <t>Plate, SST</t>
  </si>
  <si>
    <t>Plate,304ss,.188</t>
  </si>
  <si>
    <t>005 07119 188</t>
  </si>
  <si>
    <t>HasFrontOverlap</t>
  </si>
  <si>
    <t>A</t>
  </si>
  <si>
    <t>FRONT_JOGGLE_LENGTH</t>
  </si>
  <si>
    <t>NO</t>
  </si>
  <si>
    <t>"DXF" Mat'l Data (must be 8 characters for Mapics)</t>
  </si>
  <si>
    <t>STL STRUCT HR</t>
  </si>
  <si>
    <t>.041</t>
  </si>
  <si>
    <t>SSTC041A</t>
  </si>
  <si>
    <t>SSTS188A</t>
  </si>
  <si>
    <t>GLVPP056A</t>
  </si>
  <si>
    <t>GLVPP045B</t>
  </si>
  <si>
    <t>Value</t>
  </si>
  <si>
    <t>UOM</t>
  </si>
  <si>
    <t>Sheet, G90</t>
  </si>
  <si>
    <t>005 06145 010</t>
  </si>
  <si>
    <t>.096</t>
  </si>
  <si>
    <t>60 X 144</t>
  </si>
  <si>
    <t>G40</t>
  </si>
  <si>
    <t>STL GALV PPW</t>
  </si>
  <si>
    <t xml:space="preserve">Sheet,Hot-Rolled,10ga </t>
  </si>
  <si>
    <t>Hot-Rolled</t>
  </si>
  <si>
    <t>005 07113 012</t>
  </si>
  <si>
    <t>Sheet, AL</t>
  </si>
  <si>
    <t>18</t>
  </si>
  <si>
    <t>SST304</t>
  </si>
  <si>
    <t>SSTS135-</t>
  </si>
  <si>
    <t>005 06146 014</t>
  </si>
  <si>
    <t>005 06146 018</t>
  </si>
  <si>
    <t>Sheet,316lss, 20ga</t>
  </si>
  <si>
    <t>SSLS029-</t>
  </si>
  <si>
    <t>005 06596 012</t>
  </si>
  <si>
    <t>GLVS097S</t>
  </si>
  <si>
    <t>GALV PRFD</t>
  </si>
  <si>
    <t xml:space="preserve">Sheet,Perf,Glv,40.3%,16ga </t>
  </si>
  <si>
    <t>GALV PRFH</t>
  </si>
  <si>
    <t>008 02316 001</t>
  </si>
  <si>
    <t>005 07114 016</t>
  </si>
  <si>
    <t xml:space="preserve">Sheet,Perf,304ss,51%,16ga </t>
  </si>
  <si>
    <t>SST304PB</t>
  </si>
  <si>
    <t>Galvanized Steel (Expanded/Flattened) 1-1/2 No. 9</t>
  </si>
  <si>
    <t>ALUE060A</t>
  </si>
  <si>
    <t>ALUE040A</t>
  </si>
  <si>
    <t>ALUE080A</t>
  </si>
  <si>
    <t>1" 19-S-4</t>
  </si>
  <si>
    <t>Hot Dip</t>
  </si>
  <si>
    <t>1" 19-W-4</t>
  </si>
  <si>
    <t>ALUD100A</t>
  </si>
  <si>
    <t>38.5 X 120</t>
  </si>
  <si>
    <t>005 06146 250</t>
  </si>
  <si>
    <t xml:space="preserve">Plate,304ss,.25 </t>
  </si>
  <si>
    <t>Mild</t>
  </si>
  <si>
    <t>Length of Floor along Z-Axis</t>
  </si>
  <si>
    <t>FrontOverlapLength</t>
  </si>
  <si>
    <t>Date</t>
  </si>
  <si>
    <t>005 07110 120</t>
  </si>
  <si>
    <t>005 07282 010</t>
  </si>
  <si>
    <t>Plate, 304L, SS, .250, 2B, ASTM A240</t>
  </si>
  <si>
    <t>R1017</t>
  </si>
  <si>
    <t>Notes:</t>
  </si>
  <si>
    <t>2. Conversions to Pounds or Sheets will be setup in Mapics as a (1 to X) product structure relationship</t>
  </si>
  <si>
    <t>Mat'l Group</t>
  </si>
  <si>
    <t>MAT_UMSR</t>
  </si>
  <si>
    <t>MAT_STG</t>
  </si>
  <si>
    <t>N/A</t>
  </si>
  <si>
    <t>005 06145 014</t>
  </si>
  <si>
    <t>005 06145 018</t>
  </si>
  <si>
    <t>Channel,Rf,16ga,Glv,6.67w_Flat, YC 4" Housing Channel</t>
  </si>
  <si>
    <t>005 07110 117</t>
  </si>
  <si>
    <t xml:space="preserve">Sheet,Al,3003h14,.063         </t>
  </si>
  <si>
    <t xml:space="preserve">Sheet,Al,3003h14,.190         </t>
  </si>
  <si>
    <t>Sheet, SST</t>
  </si>
  <si>
    <t>SSTS075-</t>
  </si>
  <si>
    <t>SSTS035-</t>
  </si>
  <si>
    <t>SSTL105-</t>
  </si>
  <si>
    <t>Sheet,316lss, 16ga</t>
  </si>
  <si>
    <t>Sheet,316lss, 18ga</t>
  </si>
  <si>
    <t>Galvanized Steel (perf)</t>
  </si>
  <si>
    <t>GLVP044B</t>
  </si>
  <si>
    <t>ALM PRFB</t>
  </si>
  <si>
    <t>Flattened</t>
  </si>
  <si>
    <t>Galv</t>
  </si>
  <si>
    <t xml:space="preserve">Plate,Dia,Hot-Rolled,12ga </t>
  </si>
  <si>
    <t>HRSD070-</t>
  </si>
  <si>
    <t>HRSD126-</t>
  </si>
  <si>
    <t>ALUD188A</t>
  </si>
  <si>
    <t>ALUD125B</t>
  </si>
  <si>
    <t>SST304D</t>
  </si>
  <si>
    <t>005 07119 250</t>
  </si>
  <si>
    <t>ul</t>
  </si>
  <si>
    <t>RearOverlapLength</t>
  </si>
  <si>
    <t>Hot Rolled</t>
  </si>
  <si>
    <t>R1271</t>
  </si>
  <si>
    <t xml:space="preserve">Plate, AL, .250, 5052 H32 </t>
  </si>
  <si>
    <t>3/16</t>
  </si>
  <si>
    <t>GLVS056C</t>
  </si>
  <si>
    <t>12.62 X Lg</t>
  </si>
  <si>
    <t xml:space="preserve">Sheet,Pre-Paint,Gray,16ga </t>
  </si>
  <si>
    <t>HR</t>
  </si>
  <si>
    <t>ALM SHT</t>
  </si>
  <si>
    <t>ALUS063A</t>
  </si>
  <si>
    <t>SST304L</t>
  </si>
  <si>
    <t>SST316L</t>
  </si>
  <si>
    <t>005 07104 012</t>
  </si>
  <si>
    <t>005 07104 016</t>
  </si>
  <si>
    <t>SSLS060-</t>
  </si>
  <si>
    <t>GLVP039A</t>
  </si>
  <si>
    <t>GLVP055A</t>
  </si>
  <si>
    <t>005 07115 020</t>
  </si>
  <si>
    <t>ALUP080A</t>
  </si>
  <si>
    <t>008 02574 080</t>
  </si>
  <si>
    <t>SSTP060A</t>
  </si>
  <si>
    <t>48 x 120</t>
  </si>
  <si>
    <t>Grating,19-Ap-4,1h_.13thk,Aluminum Grating</t>
  </si>
  <si>
    <t>005 07112 041</t>
  </si>
  <si>
    <t>.100</t>
  </si>
  <si>
    <t>Plate,Dia,Alu,.188_3003 Bright</t>
  </si>
  <si>
    <t>SSTS250-</t>
  </si>
  <si>
    <t xml:space="preserve">48 x 120 </t>
  </si>
  <si>
    <t>.500</t>
  </si>
  <si>
    <t>HasLeftOverlap</t>
  </si>
  <si>
    <t>Material Style</t>
  </si>
  <si>
    <t>LEFT_JOGGLE_LENGTH</t>
  </si>
  <si>
    <t>RIGHT_JOGGLE_LENGTH</t>
  </si>
  <si>
    <t>Left Joggle Length</t>
  </si>
  <si>
    <t>008 02571 163</t>
  </si>
  <si>
    <t>Plate, 316L, SS, .188, 2B, ASTM A240</t>
  </si>
  <si>
    <t>STPL250A</t>
  </si>
  <si>
    <t>Plate, Structural, HR</t>
  </si>
  <si>
    <t>005 07279 001</t>
  </si>
  <si>
    <t>005 01681 001</t>
  </si>
  <si>
    <t>STLHR097A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</si>
</sst>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name val="Calibri"/>
      <family val="2"/>
      <scheme val="minor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13" fillId="0" borderId="0"/>
    <xf numFmtId="0" fontId="3" fillId="0" borderId="0"/>
    <xf numFmtId="0" fontId="3" fillId="0" borderId="0"/>
  </cellStyleXfs>
  <cellXfs count="277">
    <xf numFmtId="0" fontId="0" fillId="0" borderId="0" xfId="0"/>
    <xf numFmtId="49" fontId="5" fillId="0" borderId="1" xfId="0" applyNumberFormat="1" applyFont="1" applyBorder="1" applyAlignment="1">
      <alignment horizontal="center" vertical="top"/>
    </xf>
    <xf numFmtId="0" fontId="3" fillId="0" borderId="0" xfId="0" applyFont="1"/>
    <xf numFmtId="49" fontId="5" fillId="0" borderId="2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left" vertical="top"/>
    </xf>
    <xf numFmtId="49" fontId="5" fillId="0" borderId="3" xfId="0" applyNumberFormat="1" applyFont="1" applyBorder="1" applyAlignment="1">
      <alignment horizontal="center" vertical="top"/>
    </xf>
    <xf numFmtId="0" fontId="3" fillId="0" borderId="4" xfId="0" applyFont="1" applyBorder="1"/>
    <xf numFmtId="49" fontId="5" fillId="4" borderId="1" xfId="0" applyNumberFormat="1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0" fontId="3" fillId="0" borderId="5" xfId="0" applyFont="1" applyBorder="1"/>
    <xf numFmtId="49" fontId="5" fillId="0" borderId="2" xfId="0" applyNumberFormat="1" applyFont="1" applyBorder="1" applyAlignment="1">
      <alignment horizontal="left" vertical="top"/>
    </xf>
    <xf numFmtId="0" fontId="3" fillId="4" borderId="4" xfId="0" applyFont="1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3" fillId="4" borderId="6" xfId="0" applyFont="1" applyFill="1" applyBorder="1"/>
    <xf numFmtId="0" fontId="6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164" fontId="5" fillId="0" borderId="1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49" fontId="5" fillId="3" borderId="9" xfId="0" applyNumberFormat="1" applyFont="1" applyFill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vertical="top"/>
    </xf>
    <xf numFmtId="49" fontId="5" fillId="4" borderId="10" xfId="0" applyNumberFormat="1" applyFont="1" applyFill="1" applyBorder="1" applyAlignment="1">
      <alignment horizontal="center" vertical="top"/>
    </xf>
    <xf numFmtId="49" fontId="5" fillId="0" borderId="3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center" vertical="top"/>
    </xf>
    <xf numFmtId="49" fontId="5" fillId="4" borderId="1" xfId="0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  <xf numFmtId="49" fontId="5" fillId="0" borderId="11" xfId="0" applyNumberFormat="1" applyFont="1" applyBorder="1" applyAlignment="1">
      <alignment horizontal="left" vertical="top"/>
    </xf>
    <xf numFmtId="0" fontId="3" fillId="0" borderId="4" xfId="0" applyFont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top"/>
    </xf>
    <xf numFmtId="49" fontId="5" fillId="4" borderId="9" xfId="0" applyNumberFormat="1" applyFont="1" applyFill="1" applyBorder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5" fillId="4" borderId="3" xfId="0" applyNumberFormat="1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49" fontId="5" fillId="0" borderId="12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top"/>
    </xf>
    <xf numFmtId="0" fontId="3" fillId="0" borderId="6" xfId="0" applyNumberFormat="1" applyFont="1" applyFill="1" applyBorder="1" applyAlignment="1">
      <alignment horizontal="center"/>
    </xf>
    <xf numFmtId="0" fontId="3" fillId="0" borderId="13" xfId="0" applyFont="1" applyBorder="1"/>
    <xf numFmtId="49" fontId="5" fillId="4" borderId="2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top"/>
    </xf>
    <xf numFmtId="0" fontId="3" fillId="0" borderId="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 vertical="top"/>
    </xf>
    <xf numFmtId="165" fontId="5" fillId="4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8" fillId="0" borderId="11" xfId="0" applyNumberFormat="1" applyFont="1" applyBorder="1" applyAlignment="1">
      <alignment horizontal="left" vertical="center"/>
    </xf>
    <xf numFmtId="165" fontId="3" fillId="0" borderId="0" xfId="0" applyNumberFormat="1" applyFont="1"/>
    <xf numFmtId="49" fontId="5" fillId="0" borderId="2" xfId="0" applyNumberFormat="1" applyFont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/>
    </xf>
    <xf numFmtId="0" fontId="7" fillId="0" borderId="14" xfId="4" applyFont="1" applyBorder="1"/>
    <xf numFmtId="0" fontId="3" fillId="3" borderId="1" xfId="0" applyFont="1" applyFill="1" applyBorder="1" applyAlignment="1">
      <alignment horizontal="center"/>
    </xf>
    <xf numFmtId="49" fontId="5" fillId="0" borderId="2" xfId="0" quotePrefix="1" applyNumberFormat="1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left" vertical="top"/>
    </xf>
    <xf numFmtId="0" fontId="7" fillId="0" borderId="7" xfId="0" applyFont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left" vertical="top"/>
    </xf>
    <xf numFmtId="49" fontId="5" fillId="3" borderId="11" xfId="0" applyNumberFormat="1" applyFont="1" applyFill="1" applyBorder="1" applyAlignment="1">
      <alignment horizontal="left" vertical="top"/>
    </xf>
    <xf numFmtId="0" fontId="3" fillId="0" borderId="15" xfId="15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0" fillId="0" borderId="0" xfId="0" applyBorder="1"/>
    <xf numFmtId="49" fontId="5" fillId="0" borderId="6" xfId="0" applyNumberFormat="1" applyFont="1" applyBorder="1" applyAlignment="1">
      <alignment horizontal="left" vertical="top"/>
    </xf>
    <xf numFmtId="0" fontId="3" fillId="4" borderId="3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 vertical="top"/>
    </xf>
    <xf numFmtId="165" fontId="5" fillId="3" borderId="1" xfId="0" applyNumberFormat="1" applyFont="1" applyFill="1" applyBorder="1" applyAlignment="1">
      <alignment horizontal="center" vertical="top"/>
    </xf>
    <xf numFmtId="0" fontId="3" fillId="3" borderId="13" xfId="0" applyFont="1" applyFill="1" applyBorder="1"/>
    <xf numFmtId="49" fontId="5" fillId="3" borderId="9" xfId="0" applyNumberFormat="1" applyFont="1" applyFill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 vertical="top"/>
    </xf>
    <xf numFmtId="0" fontId="7" fillId="0" borderId="5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center"/>
    </xf>
    <xf numFmtId="0" fontId="3" fillId="0" borderId="0" xfId="4"/>
    <xf numFmtId="164" fontId="5" fillId="3" borderId="1" xfId="0" applyNumberFormat="1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5" fontId="3" fillId="0" borderId="4" xfId="0" applyNumberFormat="1" applyFont="1" applyBorder="1"/>
    <xf numFmtId="0" fontId="7" fillId="3" borderId="13" xfId="0" applyFont="1" applyFill="1" applyBorder="1" applyAlignment="1">
      <alignment horizontal="center"/>
    </xf>
    <xf numFmtId="165" fontId="3" fillId="4" borderId="0" xfId="0" applyNumberFormat="1" applyFont="1" applyFill="1"/>
    <xf numFmtId="164" fontId="5" fillId="3" borderId="1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/>
    </xf>
    <xf numFmtId="49" fontId="5" fillId="4" borderId="10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165" fontId="5" fillId="0" borderId="2" xfId="0" quotePrefix="1" applyNumberFormat="1" applyFont="1" applyBorder="1" applyAlignment="1">
      <alignment horizontal="center" vertical="top"/>
    </xf>
    <xf numFmtId="0" fontId="0" fillId="3" borderId="15" xfId="0" applyFill="1" applyBorder="1"/>
    <xf numFmtId="49" fontId="5" fillId="3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49" fontId="7" fillId="0" borderId="8" xfId="0" applyNumberFormat="1" applyFont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left" vertical="top"/>
    </xf>
    <xf numFmtId="0" fontId="3" fillId="0" borderId="1" xfId="0" applyFont="1" applyBorder="1"/>
    <xf numFmtId="165" fontId="3" fillId="4" borderId="4" xfId="0" applyNumberFormat="1" applyFont="1" applyFill="1" applyBorder="1"/>
    <xf numFmtId="0" fontId="3" fillId="0" borderId="3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6" fillId="3" borderId="11" xfId="0" applyFont="1" applyFill="1" applyBorder="1" applyAlignment="1">
      <alignment horizontal="center" vertical="top"/>
    </xf>
    <xf numFmtId="49" fontId="5" fillId="0" borderId="9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center" vertical="top"/>
    </xf>
    <xf numFmtId="165" fontId="5" fillId="4" borderId="1" xfId="0" quotePrefix="1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19" xfId="4" applyFont="1" applyBorder="1" applyAlignment="1">
      <alignment horizontal="center"/>
    </xf>
    <xf numFmtId="0" fontId="0" fillId="0" borderId="0" xfId="0" applyFill="1"/>
    <xf numFmtId="49" fontId="5" fillId="0" borderId="11" xfId="0" applyNumberFormat="1" applyFont="1" applyBorder="1" applyAlignment="1">
      <alignment vertical="top"/>
    </xf>
    <xf numFmtId="0" fontId="0" fillId="0" borderId="18" xfId="0" applyBorder="1"/>
    <xf numFmtId="0" fontId="0" fillId="0" borderId="0" xfId="0" applyFill="1" applyBorder="1"/>
    <xf numFmtId="0" fontId="9" fillId="5" borderId="17" xfId="0" applyFont="1" applyFill="1" applyBorder="1" applyAlignment="1">
      <alignment horizontal="center" vertical="top"/>
    </xf>
    <xf numFmtId="0" fontId="0" fillId="0" borderId="15" xfId="0" applyFill="1" applyBorder="1"/>
    <xf numFmtId="49" fontId="3" fillId="0" borderId="9" xfId="0" applyNumberFormat="1" applyFont="1" applyBorder="1" applyAlignment="1">
      <alignment horizontal="center" vertical="top"/>
    </xf>
    <xf numFmtId="165" fontId="0" fillId="0" borderId="1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49" fontId="5" fillId="4" borderId="2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/>
    </xf>
    <xf numFmtId="164" fontId="5" fillId="3" borderId="9" xfId="0" applyNumberFormat="1" applyFont="1" applyFill="1" applyBorder="1" applyAlignment="1">
      <alignment horizontal="center" vertical="top"/>
    </xf>
    <xf numFmtId="0" fontId="0" fillId="0" borderId="21" xfId="0" applyBorder="1" applyAlignment="1">
      <alignment horizontal="center"/>
    </xf>
    <xf numFmtId="0" fontId="3" fillId="0" borderId="6" xfId="0" quotePrefix="1" applyFont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164" fontId="5" fillId="0" borderId="2" xfId="0" quotePrefix="1" applyNumberFormat="1" applyFont="1" applyBorder="1" applyAlignment="1">
      <alignment horizontal="center" vertical="top"/>
    </xf>
    <xf numFmtId="49" fontId="5" fillId="0" borderId="13" xfId="0" applyNumberFormat="1" applyFont="1" applyBorder="1" applyAlignment="1">
      <alignment horizontal="center" vertical="top"/>
    </xf>
    <xf numFmtId="0" fontId="0" fillId="0" borderId="15" xfId="0" applyFill="1" applyBorder="1" applyAlignment="1">
      <alignment horizontal="center" vertical="center"/>
    </xf>
    <xf numFmtId="0" fontId="3" fillId="3" borderId="9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65" fontId="5" fillId="4" borderId="9" xfId="0" applyNumberFormat="1" applyFont="1" applyFill="1" applyBorder="1" applyAlignment="1">
      <alignment horizontal="center" vertical="top"/>
    </xf>
    <xf numFmtId="14" fontId="3" fillId="0" borderId="19" xfId="4" applyNumberFormat="1" applyBorder="1" applyAlignment="1">
      <alignment horizontal="center"/>
    </xf>
    <xf numFmtId="14" fontId="3" fillId="0" borderId="15" xfId="15" applyNumberForma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3" fillId="0" borderId="11" xfId="0" applyFont="1" applyBorder="1"/>
    <xf numFmtId="2" fontId="0" fillId="0" borderId="18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3" xfId="0" applyFill="1" applyBorder="1"/>
    <xf numFmtId="49" fontId="5" fillId="4" borderId="13" xfId="0" applyNumberFormat="1" applyFont="1" applyFill="1" applyBorder="1" applyAlignment="1">
      <alignment horizontal="center" vertical="top"/>
    </xf>
    <xf numFmtId="0" fontId="3" fillId="0" borderId="16" xfId="0" applyFont="1" applyBorder="1" applyAlignment="1">
      <alignment horizontal="center"/>
    </xf>
    <xf numFmtId="0" fontId="0" fillId="0" borderId="2" xfId="0" applyBorder="1"/>
    <xf numFmtId="49" fontId="3" fillId="4" borderId="1" xfId="0" applyNumberFormat="1" applyFont="1" applyFill="1" applyBorder="1" applyAlignment="1">
      <alignment horizontal="center" vertical="top"/>
    </xf>
    <xf numFmtId="0" fontId="0" fillId="0" borderId="22" xfId="0" applyFill="1" applyBorder="1"/>
    <xf numFmtId="0" fontId="7" fillId="0" borderId="23" xfId="4" applyFont="1" applyBorder="1"/>
    <xf numFmtId="0" fontId="3" fillId="3" borderId="2" xfId="0" applyFont="1" applyFill="1" applyBorder="1" applyAlignment="1">
      <alignment horizontal="center" vertical="center"/>
    </xf>
    <xf numFmtId="49" fontId="5" fillId="0" borderId="12" xfId="0" applyNumberFormat="1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49" fontId="5" fillId="4" borderId="1" xfId="0" quotePrefix="1" applyNumberFormat="1" applyFont="1" applyFill="1" applyBorder="1" applyAlignment="1">
      <alignment horizontal="left" vertical="top"/>
    </xf>
    <xf numFmtId="0" fontId="0" fillId="0" borderId="24" xfId="0" applyBorder="1" applyAlignment="1">
      <alignment horizontal="center" vertical="center"/>
    </xf>
    <xf numFmtId="49" fontId="8" fillId="0" borderId="13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5" fillId="0" borderId="3" xfId="0" applyNumberFormat="1" applyFont="1" applyBorder="1" applyAlignment="1">
      <alignment horizontal="center" vertical="center"/>
    </xf>
    <xf numFmtId="0" fontId="0" fillId="0" borderId="18" xfId="0" applyFill="1" applyBorder="1"/>
    <xf numFmtId="0" fontId="7" fillId="0" borderId="25" xfId="0" applyFont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top"/>
    </xf>
    <xf numFmtId="49" fontId="3" fillId="4" borderId="3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left" vertical="center"/>
    </xf>
    <xf numFmtId="165" fontId="3" fillId="4" borderId="6" xfId="0" applyNumberFormat="1" applyFont="1" applyFill="1" applyBorder="1"/>
    <xf numFmtId="164" fontId="5" fillId="0" borderId="8" xfId="0" applyNumberFormat="1" applyFont="1" applyBorder="1" applyAlignment="1">
      <alignment horizontal="center" vertical="top"/>
    </xf>
    <xf numFmtId="49" fontId="5" fillId="4" borderId="10" xfId="0" quotePrefix="1" applyNumberFormat="1" applyFont="1" applyFill="1" applyBorder="1" applyAlignment="1">
      <alignment horizontal="left" vertical="top"/>
    </xf>
    <xf numFmtId="165" fontId="5" fillId="0" borderId="9" xfId="0" applyNumberFormat="1" applyFont="1" applyBorder="1" applyAlignment="1">
      <alignment horizontal="center" vertical="top"/>
    </xf>
    <xf numFmtId="0" fontId="0" fillId="0" borderId="15" xfId="0" applyBorder="1"/>
    <xf numFmtId="0" fontId="10" fillId="0" borderId="5" xfId="0" applyFont="1" applyBorder="1" applyAlignment="1">
      <alignment horizontal="left"/>
    </xf>
    <xf numFmtId="0" fontId="0" fillId="3" borderId="1" xfId="0" applyFill="1" applyBorder="1"/>
    <xf numFmtId="0" fontId="3" fillId="0" borderId="26" xfId="4" applyBorder="1" applyAlignment="1">
      <alignment horizontal="center"/>
    </xf>
    <xf numFmtId="165" fontId="5" fillId="4" borderId="10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0" borderId="15" xfId="15" applyFont="1" applyBorder="1"/>
    <xf numFmtId="0" fontId="0" fillId="0" borderId="15" xfId="0" applyBorder="1" applyAlignment="1">
      <alignment horizontal="left" vertical="center"/>
    </xf>
    <xf numFmtId="49" fontId="3" fillId="4" borderId="9" xfId="0" applyNumberFormat="1" applyFont="1" applyFill="1" applyBorder="1" applyAlignment="1">
      <alignment horizontal="center" vertical="top"/>
    </xf>
    <xf numFmtId="0" fontId="0" fillId="0" borderId="27" xfId="0" applyBorder="1"/>
    <xf numFmtId="0" fontId="0" fillId="0" borderId="28" xfId="0" applyBorder="1" applyAlignment="1">
      <alignment horizontal="center"/>
    </xf>
    <xf numFmtId="0" fontId="10" fillId="0" borderId="29" xfId="0" applyFont="1" applyBorder="1"/>
    <xf numFmtId="49" fontId="5" fillId="4" borderId="11" xfId="0" applyNumberFormat="1" applyFont="1" applyFill="1" applyBorder="1" applyAlignment="1">
      <alignment horizontal="left" vertical="top"/>
    </xf>
    <xf numFmtId="0" fontId="3" fillId="0" borderId="9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1" fillId="0" borderId="5" xfId="0" applyFont="1" applyBorder="1"/>
    <xf numFmtId="0" fontId="3" fillId="0" borderId="30" xfId="0" applyFont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center" vertical="center"/>
    </xf>
    <xf numFmtId="0" fontId="0" fillId="0" borderId="24" xfId="0" applyBorder="1"/>
    <xf numFmtId="16" fontId="3" fillId="0" borderId="1" xfId="0" quotePrefix="1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 wrapText="1"/>
    </xf>
    <xf numFmtId="0" fontId="0" fillId="4" borderId="2" xfId="0" applyFill="1" applyBorder="1"/>
    <xf numFmtId="0" fontId="0" fillId="0" borderId="15" xfId="0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9" fillId="5" borderId="30" xfId="0" applyFont="1" applyFill="1" applyBorder="1" applyAlignment="1">
      <alignment horizontal="center" vertical="top"/>
    </xf>
    <xf numFmtId="0" fontId="0" fillId="0" borderId="22" xfId="0" applyBorder="1"/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165" fontId="3" fillId="0" borderId="6" xfId="0" quotePrefix="1" applyNumberFormat="1" applyFont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/>
    </xf>
    <xf numFmtId="0" fontId="3" fillId="0" borderId="9" xfId="0" applyFont="1" applyBorder="1"/>
    <xf numFmtId="164" fontId="5" fillId="4" borderId="3" xfId="0" applyNumberFormat="1" applyFont="1" applyFill="1" applyBorder="1" applyAlignment="1">
      <alignment horizontal="center" vertical="top"/>
    </xf>
    <xf numFmtId="49" fontId="5" fillId="0" borderId="8" xfId="0" quotePrefix="1" applyNumberFormat="1" applyFont="1" applyBorder="1" applyAlignment="1">
      <alignment horizontal="center" vertical="top"/>
    </xf>
    <xf numFmtId="164" fontId="5" fillId="4" borderId="9" xfId="0" applyNumberFormat="1" applyFont="1" applyFill="1" applyBorder="1" applyAlignment="1">
      <alignment horizontal="center" vertical="top"/>
    </xf>
    <xf numFmtId="166" fontId="0" fillId="0" borderId="0" xfId="0" applyNumberFormat="1"/>
    <xf numFmtId="49" fontId="5" fillId="0" borderId="9" xfId="0" applyNumberFormat="1" applyFont="1" applyBorder="1" applyAlignment="1"/>
    <xf numFmtId="0" fontId="9" fillId="5" borderId="33" xfId="0" applyFont="1" applyFill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top"/>
    </xf>
    <xf numFmtId="49" fontId="3" fillId="0" borderId="3" xfId="0" applyNumberFormat="1" applyFont="1" applyBorder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5" fillId="0" borderId="3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165" fontId="5" fillId="3" borderId="9" xfId="0" applyNumberFormat="1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7" fillId="0" borderId="34" xfId="4" applyFont="1" applyBorder="1"/>
    <xf numFmtId="0" fontId="7" fillId="0" borderId="8" xfId="0" applyNumberFormat="1" applyFont="1" applyFill="1" applyBorder="1" applyAlignment="1">
      <alignment horizontal="center"/>
    </xf>
    <xf numFmtId="165" fontId="5" fillId="0" borderId="8" xfId="0" applyNumberFormat="1" applyFont="1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7" fillId="3" borderId="35" xfId="7" applyFont="1" applyFill="1" applyBorder="1" applyAlignment="1">
      <alignment horizontal="center"/>
    </xf>
    <xf numFmtId="49" fontId="8" fillId="0" borderId="29" xfId="0" applyNumberFormat="1" applyFont="1" applyBorder="1" applyAlignment="1">
      <alignment horizontal="left" vertical="center"/>
    </xf>
    <xf numFmtId="0" fontId="7" fillId="0" borderId="0" xfId="0" applyFont="1" applyFill="1" applyAlignment="1">
      <alignment horizontal="center" wrapText="1"/>
    </xf>
    <xf numFmtId="49" fontId="7" fillId="0" borderId="0" xfId="0" applyNumberFormat="1" applyFont="1" applyAlignment="1">
      <alignment vertical="top"/>
    </xf>
    <xf numFmtId="0" fontId="0" fillId="3" borderId="1" xfId="0" applyFill="1" applyBorder="1" applyAlignment="1">
      <alignment vertical="center"/>
    </xf>
    <xf numFmtId="165" fontId="3" fillId="0" borderId="5" xfId="0" applyNumberFormat="1" applyFont="1" applyBorder="1"/>
    <xf numFmtId="49" fontId="5" fillId="0" borderId="10" xfId="0" applyNumberFormat="1" applyFont="1" applyBorder="1" applyAlignment="1">
      <alignment horizontal="center" vertical="top"/>
    </xf>
    <xf numFmtId="164" fontId="3" fillId="0" borderId="4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15" xfId="0" applyFill="1" applyBorder="1" applyAlignment="1">
      <alignment wrapText="1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3" fillId="4" borderId="13" xfId="0" applyFont="1" applyFill="1" applyBorder="1"/>
    <xf numFmtId="0" fontId="3" fillId="0" borderId="19" xfId="4" applyBorder="1"/>
    <xf numFmtId="165" fontId="5" fillId="3" borderId="1" xfId="0" applyNumberFormat="1" applyFont="1" applyFill="1" applyBorder="1" applyAlignment="1">
      <alignment horizontal="center" vertical="center"/>
    </xf>
    <xf numFmtId="49" fontId="3" fillId="0" borderId="11" xfId="0" applyNumberFormat="1" applyFont="1" applyBorder="1" applyAlignment="1">
      <alignment vertical="top"/>
    </xf>
    <xf numFmtId="0" fontId="12" fillId="0" borderId="5" xfId="0" applyFont="1" applyBorder="1" applyAlignment="1">
      <alignment horizontal="center"/>
    </xf>
    <xf numFmtId="165" fontId="5" fillId="0" borderId="1" xfId="0" quotePrefix="1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0" fillId="4" borderId="1" xfId="0" applyFill="1" applyBorder="1"/>
    <xf numFmtId="0" fontId="6" fillId="0" borderId="9" xfId="0" applyFont="1" applyBorder="1" applyAlignment="1">
      <alignment horizontal="center" vertical="top"/>
    </xf>
    <xf numFmtId="164" fontId="0" fillId="0" borderId="15" xfId="0" applyNumberFormat="1" applyBorder="1" applyAlignment="1">
      <alignment horizontal="center"/>
    </xf>
    <xf numFmtId="0" fontId="3" fillId="0" borderId="12" xfId="0" applyFont="1" applyBorder="1"/>
    <xf numFmtId="0" fontId="3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</cellXfs>
  <cellStyles count="16">
    <cellStyle name="Good 2" xfId="1" xr:uid="{00000000-0005-0000-0000-000000000000}"/>
    <cellStyle name="Hyperlink 2" xfId="2" xr:uid="{00000000-0005-0000-0000-000001000000}"/>
    <cellStyle name="Hyperlink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2 3" xfId="7" xr:uid="{00000000-0005-0000-0000-000007000000}"/>
    <cellStyle name="Normal 3" xfId="8" xr:uid="{00000000-0005-0000-0000-000008000000}"/>
    <cellStyle name="Normal 4" xfId="9" xr:uid="{00000000-0005-0000-0000-000009000000}"/>
    <cellStyle name="Normal 4 2" xfId="10" xr:uid="{00000000-0005-0000-0000-00000A000000}"/>
    <cellStyle name="Normal 5" xfId="11" xr:uid="{00000000-0005-0000-0000-00000B000000}"/>
    <cellStyle name="Normal 6" xfId="12" xr:uid="{00000000-0005-0000-0000-00000C000000}"/>
    <cellStyle name="Normal 6 2" xfId="13" xr:uid="{00000000-0005-0000-0000-00000D000000}"/>
    <cellStyle name="Normal 7" xfId="14" xr:uid="{00000000-0005-0000-0000-00000E000000}"/>
    <cellStyle name="Normal 8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9.192.75\Groups\Projects\York\TKO\ISG%20MODELS\WIP\Models\5.0_Updated%20for%20Max%20hole%20spacing\Calc_30117_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"/>
      <sheetName val="Excel Calcs"/>
      <sheetName val="Hole Sizes"/>
      <sheetName val="Channel Loc"/>
      <sheetName val="Material List"/>
      <sheetName val="Steel List"/>
      <sheetName val="Wall_Spacing"/>
      <sheetName val="Roof_Top_Spacing"/>
      <sheetName val="Tiered_Roof_Spacing"/>
      <sheetName val="Revision List"/>
      <sheetName val="Edit Manual Control"/>
    </sheetNames>
    <sheetDataSet>
      <sheetData sheetId="0"/>
      <sheetData sheetId="1">
        <row r="3">
          <cell r="B3">
            <v>60</v>
          </cell>
        </row>
        <row r="4">
          <cell r="B4" t="str">
            <v>STL GALV</v>
          </cell>
        </row>
        <row r="5">
          <cell r="B5" t="str">
            <v>Seismic 0</v>
          </cell>
        </row>
        <row r="6">
          <cell r="B6" t="str">
            <v>Single</v>
          </cell>
        </row>
        <row r="7">
          <cell r="B7">
            <v>1</v>
          </cell>
        </row>
        <row r="8">
          <cell r="B8">
            <v>0</v>
          </cell>
        </row>
        <row r="9">
          <cell r="B9">
            <v>0</v>
          </cell>
        </row>
      </sheetData>
      <sheetData sheetId="2">
        <row r="5">
          <cell r="L5">
            <v>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/>
  </sheetViews>
  <sheetFormatPr defaultRowHeight="15" x14ac:dyDescent="0.25"/>
  <cols>
    <col min="1" max="1" width="19.42578125" customWidth="1"/>
    <col min="4" max="4" width="41" customWidth="1"/>
    <col min="7" max="7" width="22.85546875" bestFit="1" customWidth="1"/>
  </cols>
  <sheetData>
    <row r="1" spans="1:9" ht="15.75" thickBot="1" x14ac:dyDescent="0.3">
      <c r="A1" s="134" t="s">
        <v>227</v>
      </c>
      <c r="B1" s="134" t="s">
        <v>530</v>
      </c>
      <c r="C1" s="213" t="s">
        <v>531</v>
      </c>
      <c r="D1" s="230" t="s">
        <v>218</v>
      </c>
    </row>
    <row r="2" spans="1:9" x14ac:dyDescent="0.25">
      <c r="A2" s="204" t="s">
        <v>216</v>
      </c>
      <c r="B2" s="173">
        <f>FLOOR_X_LENGTH</f>
        <v>4.25</v>
      </c>
      <c r="C2" s="143" t="s">
        <v>215</v>
      </c>
      <c r="D2" s="195" t="s">
        <v>115</v>
      </c>
    </row>
    <row r="3" spans="1:9" x14ac:dyDescent="0.25">
      <c r="A3" s="132" t="s">
        <v>370</v>
      </c>
      <c r="B3" s="128">
        <f>FLOOR_Z_LENGTH</f>
        <v>89.5</v>
      </c>
      <c r="C3" s="138" t="s">
        <v>215</v>
      </c>
      <c r="D3" s="132" t="s">
        <v>570</v>
      </c>
    </row>
    <row r="4" spans="1:9" x14ac:dyDescent="0.25">
      <c r="A4" s="132" t="s">
        <v>330</v>
      </c>
      <c r="B4" s="159">
        <f>Calcs!C5</f>
        <v>5.6009999999999997E-2</v>
      </c>
      <c r="C4" s="138" t="s">
        <v>215</v>
      </c>
      <c r="D4" s="132" t="s">
        <v>445</v>
      </c>
    </row>
    <row r="5" spans="1:9" x14ac:dyDescent="0.25">
      <c r="A5" s="132" t="s">
        <v>371</v>
      </c>
      <c r="B5" s="159">
        <f>Calcs!C6</f>
        <v>6.8989999999999996E-2</v>
      </c>
      <c r="C5" s="138" t="s">
        <v>215</v>
      </c>
      <c r="D5" s="177" t="s">
        <v>446</v>
      </c>
    </row>
    <row r="6" spans="1:9" x14ac:dyDescent="0.25">
      <c r="A6" s="132" t="s">
        <v>119</v>
      </c>
      <c r="B6" s="128">
        <f>Calcs!C7</f>
        <v>0</v>
      </c>
      <c r="C6" s="138" t="s">
        <v>607</v>
      </c>
      <c r="D6" s="177" t="s">
        <v>407</v>
      </c>
    </row>
    <row r="7" spans="1:9" x14ac:dyDescent="0.25">
      <c r="A7" s="132" t="s">
        <v>262</v>
      </c>
      <c r="B7" s="128">
        <f>Calcs!C8</f>
        <v>1.5</v>
      </c>
      <c r="C7" s="138" t="s">
        <v>215</v>
      </c>
      <c r="D7" s="177" t="s">
        <v>333</v>
      </c>
    </row>
    <row r="8" spans="1:9" x14ac:dyDescent="0.25">
      <c r="A8" s="132" t="s">
        <v>331</v>
      </c>
      <c r="B8" s="128">
        <f>Calcs!C9</f>
        <v>0</v>
      </c>
      <c r="C8" s="138" t="s">
        <v>607</v>
      </c>
      <c r="D8" s="177" t="s">
        <v>479</v>
      </c>
    </row>
    <row r="9" spans="1:9" x14ac:dyDescent="0.25">
      <c r="A9" s="132" t="s">
        <v>442</v>
      </c>
      <c r="B9" s="128">
        <f>Calcs!C10</f>
        <v>1.5</v>
      </c>
      <c r="C9" s="138" t="s">
        <v>215</v>
      </c>
      <c r="D9" s="177" t="s">
        <v>219</v>
      </c>
      <c r="G9" s="83"/>
      <c r="H9" s="83"/>
      <c r="I9" s="83"/>
    </row>
    <row r="10" spans="1:9" x14ac:dyDescent="0.25">
      <c r="A10" s="132" t="s">
        <v>117</v>
      </c>
      <c r="B10" s="128">
        <f>Calcs!C11</f>
        <v>0</v>
      </c>
      <c r="C10" s="138" t="s">
        <v>607</v>
      </c>
      <c r="D10" s="177" t="s">
        <v>374</v>
      </c>
      <c r="G10" s="83"/>
      <c r="H10" s="83"/>
      <c r="I10" s="83"/>
    </row>
    <row r="11" spans="1:9" x14ac:dyDescent="0.25">
      <c r="A11" s="132" t="s">
        <v>118</v>
      </c>
      <c r="B11" s="128">
        <f>Calcs!C12</f>
        <v>1.5</v>
      </c>
      <c r="C11" s="138" t="s">
        <v>215</v>
      </c>
      <c r="D11" s="177" t="s">
        <v>642</v>
      </c>
      <c r="G11" s="83"/>
      <c r="H11" s="83"/>
      <c r="I11" s="83"/>
    </row>
    <row r="12" spans="1:9" x14ac:dyDescent="0.25">
      <c r="A12" s="132" t="s">
        <v>441</v>
      </c>
      <c r="B12" s="128">
        <f>Calcs!C13</f>
        <v>0</v>
      </c>
      <c r="C12" s="138" t="s">
        <v>607</v>
      </c>
      <c r="D12" s="177" t="s">
        <v>167</v>
      </c>
      <c r="G12" s="83"/>
      <c r="H12" s="83"/>
      <c r="I12" s="83"/>
    </row>
    <row r="13" spans="1:9" ht="15.75" thickBot="1" x14ac:dyDescent="0.3">
      <c r="A13" s="214" t="s">
        <v>405</v>
      </c>
      <c r="B13" s="241">
        <f>Calcs!C14</f>
        <v>1.5</v>
      </c>
      <c r="C13" s="196" t="s">
        <v>215</v>
      </c>
      <c r="D13" s="167" t="s">
        <v>264</v>
      </c>
      <c r="G13" s="83"/>
      <c r="H13" s="83"/>
      <c r="I13" s="83"/>
    </row>
    <row r="14" spans="1:9" x14ac:dyDescent="0.25">
      <c r="C14" s="10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zoomScale="85" workbookViewId="0">
      <selection activeCell="B5" sqref="B5"/>
    </sheetView>
  </sheetViews>
  <sheetFormatPr defaultRowHeight="15" x14ac:dyDescent="0.25"/>
  <cols>
    <col min="1" max="1" width="28.42578125" customWidth="1"/>
    <col min="2" max="2" width="12.140625" style="258" customWidth="1"/>
    <col min="3" max="3" width="48.42578125" bestFit="1" customWidth="1"/>
  </cols>
  <sheetData>
    <row r="1" spans="1:3" ht="15.75" thickBot="1" x14ac:dyDescent="0.3">
      <c r="A1" s="275" t="s">
        <v>443</v>
      </c>
      <c r="B1" s="276"/>
      <c r="C1" s="106"/>
    </row>
    <row r="2" spans="1:3" ht="15.75" thickBot="1" x14ac:dyDescent="0.3">
      <c r="A2" s="121" t="s">
        <v>227</v>
      </c>
      <c r="B2" s="202" t="s">
        <v>530</v>
      </c>
      <c r="C2" s="121" t="s">
        <v>444</v>
      </c>
    </row>
    <row r="3" spans="1:3" x14ac:dyDescent="0.25">
      <c r="A3" s="108" t="s">
        <v>216</v>
      </c>
      <c r="B3" s="200">
        <v>4.25</v>
      </c>
      <c r="C3" s="108" t="s">
        <v>115</v>
      </c>
    </row>
    <row r="4" spans="1:3" x14ac:dyDescent="0.25">
      <c r="A4" s="108" t="s">
        <v>370</v>
      </c>
      <c r="B4" s="200">
        <v>89.5</v>
      </c>
      <c r="C4" s="108" t="s">
        <v>570</v>
      </c>
    </row>
    <row r="5" spans="1:3" x14ac:dyDescent="0.25">
      <c r="A5" s="108" t="s">
        <v>40</v>
      </c>
      <c r="B5" s="200" t="s">
        <v>229</v>
      </c>
      <c r="C5" s="108" t="s">
        <v>639</v>
      </c>
    </row>
    <row r="6" spans="1:3" x14ac:dyDescent="0.25">
      <c r="A6" s="246" t="s">
        <v>220</v>
      </c>
      <c r="B6" s="200">
        <v>16</v>
      </c>
      <c r="C6" s="259" t="s">
        <v>82</v>
      </c>
    </row>
    <row r="7" spans="1:3" x14ac:dyDescent="0.25">
      <c r="A7" s="135" t="s">
        <v>519</v>
      </c>
      <c r="B7" s="151" t="s">
        <v>522</v>
      </c>
      <c r="C7" s="135" t="s">
        <v>294</v>
      </c>
    </row>
    <row r="8" spans="1:3" x14ac:dyDescent="0.25">
      <c r="A8" s="135" t="s">
        <v>571</v>
      </c>
      <c r="B8" s="151">
        <v>1.5</v>
      </c>
      <c r="C8" s="135" t="s">
        <v>521</v>
      </c>
    </row>
    <row r="9" spans="1:3" x14ac:dyDescent="0.25">
      <c r="A9" s="135" t="s">
        <v>120</v>
      </c>
      <c r="B9" s="151" t="s">
        <v>522</v>
      </c>
      <c r="C9" s="135" t="s">
        <v>166</v>
      </c>
    </row>
    <row r="10" spans="1:3" x14ac:dyDescent="0.25">
      <c r="A10" s="135" t="s">
        <v>608</v>
      </c>
      <c r="B10" s="151">
        <v>1.5</v>
      </c>
      <c r="C10" s="135" t="s">
        <v>263</v>
      </c>
    </row>
    <row r="11" spans="1:3" x14ac:dyDescent="0.25">
      <c r="A11" s="135" t="s">
        <v>638</v>
      </c>
      <c r="B11" s="151" t="s">
        <v>522</v>
      </c>
      <c r="C11" s="135" t="s">
        <v>31</v>
      </c>
    </row>
    <row r="12" spans="1:3" x14ac:dyDescent="0.25">
      <c r="A12" s="135" t="s">
        <v>373</v>
      </c>
      <c r="B12" s="151">
        <v>1.5</v>
      </c>
      <c r="C12" s="135" t="s">
        <v>640</v>
      </c>
    </row>
    <row r="13" spans="1:3" x14ac:dyDescent="0.25">
      <c r="A13" s="135" t="s">
        <v>81</v>
      </c>
      <c r="B13" s="151" t="s">
        <v>522</v>
      </c>
      <c r="C13" s="135" t="s">
        <v>478</v>
      </c>
    </row>
    <row r="14" spans="1:3" x14ac:dyDescent="0.25">
      <c r="A14" s="135" t="s">
        <v>293</v>
      </c>
      <c r="B14" s="151">
        <v>1.5</v>
      </c>
      <c r="C14" s="135" t="s">
        <v>641</v>
      </c>
    </row>
    <row r="15" spans="1:3" x14ac:dyDescent="0.25">
      <c r="A15" s="135" t="s">
        <v>261</v>
      </c>
      <c r="B15" s="151" t="s">
        <v>522</v>
      </c>
      <c r="C15" s="135" t="s">
        <v>261</v>
      </c>
    </row>
  </sheetData>
  <mergeCells count="1">
    <mergeCell ref="A1:B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1"/>
  <sheetViews>
    <sheetView zoomScale="85" workbookViewId="0"/>
  </sheetViews>
  <sheetFormatPr defaultRowHeight="15" x14ac:dyDescent="0.25"/>
  <cols>
    <col min="1" max="1" width="19.5703125" customWidth="1"/>
    <col min="2" max="2" width="22.5703125" customWidth="1"/>
    <col min="3" max="3" width="12.140625" customWidth="1"/>
  </cols>
  <sheetData>
    <row r="1" spans="2:7" x14ac:dyDescent="0.25">
      <c r="B1" s="171" t="s">
        <v>227</v>
      </c>
      <c r="C1" s="270" t="s">
        <v>530</v>
      </c>
    </row>
    <row r="2" spans="2:7" x14ac:dyDescent="0.25">
      <c r="B2" s="193" t="s">
        <v>372</v>
      </c>
      <c r="C2" s="210">
        <f>FloorXLength - (IF(AND(HasRearOverlap="YES"),RearOverlapLength,0))-(IF(AND(HasFrontOverlap="YES"),FrontOverlapLength,0))</f>
        <v>4.25</v>
      </c>
    </row>
    <row r="3" spans="2:7" x14ac:dyDescent="0.25">
      <c r="B3" s="193" t="s">
        <v>116</v>
      </c>
      <c r="C3" s="210">
        <f>FloorZLength - (IF(AND(HasRightOverlap="YES"),RightOverlapLength, 0)) - (IF(AND(HasLeftOverlap="YES"),LeftOverlapLength,0))</f>
        <v>89.5</v>
      </c>
    </row>
    <row r="4" spans="2:7" x14ac:dyDescent="0.25">
      <c r="B4" s="146" t="s">
        <v>452</v>
      </c>
      <c r="C4" s="218" t="str">
        <f>CONCATENATE(Mtl_Gauge, MaterialType)</f>
        <v>16STL GALV</v>
      </c>
    </row>
    <row r="5" spans="2:7" x14ac:dyDescent="0.25">
      <c r="B5" s="186" t="s">
        <v>330</v>
      </c>
      <c r="C5" s="273">
        <f>VLOOKUP(MAT_LOOKUP,Material!A5:H117, 8, FALSE)</f>
        <v>5.6009999999999997E-2</v>
      </c>
    </row>
    <row r="6" spans="2:7" x14ac:dyDescent="0.25">
      <c r="B6" s="186" t="s">
        <v>371</v>
      </c>
      <c r="C6" s="137">
        <f>0.125-C5</f>
        <v>6.8989999999999996E-2</v>
      </c>
    </row>
    <row r="7" spans="2:7" x14ac:dyDescent="0.25">
      <c r="B7" s="186" t="s">
        <v>119</v>
      </c>
      <c r="C7" s="238">
        <f>IF(HasRightOverlap="YES",1,0)</f>
        <v>0</v>
      </c>
    </row>
    <row r="8" spans="2:7" x14ac:dyDescent="0.25">
      <c r="B8" s="186" t="s">
        <v>262</v>
      </c>
      <c r="C8" s="238">
        <f>RightOverlapLength</f>
        <v>1.5</v>
      </c>
    </row>
    <row r="9" spans="2:7" x14ac:dyDescent="0.25">
      <c r="B9" s="186" t="s">
        <v>331</v>
      </c>
      <c r="C9" s="238">
        <f>IF( HasRearOverlap = "YES",1,0)</f>
        <v>0</v>
      </c>
    </row>
    <row r="10" spans="2:7" x14ac:dyDescent="0.25">
      <c r="B10" s="186" t="s">
        <v>442</v>
      </c>
      <c r="C10" s="238">
        <f>RearOverlapLength</f>
        <v>1.5</v>
      </c>
      <c r="G10" s="228"/>
    </row>
    <row r="11" spans="2:7" x14ac:dyDescent="0.25">
      <c r="B11" s="186" t="s">
        <v>117</v>
      </c>
      <c r="C11" s="238">
        <f>IF(HasLeftOverlap="YES",1,0)</f>
        <v>0</v>
      </c>
    </row>
    <row r="12" spans="2:7" x14ac:dyDescent="0.25">
      <c r="B12" s="186" t="s">
        <v>118</v>
      </c>
      <c r="C12" s="238">
        <f>LeftOverlapLength</f>
        <v>1.5</v>
      </c>
    </row>
    <row r="13" spans="2:7" x14ac:dyDescent="0.25">
      <c r="B13" s="186" t="s">
        <v>441</v>
      </c>
      <c r="C13" s="238">
        <f>IF(HasFrontOverlap="YES",1,0)</f>
        <v>0</v>
      </c>
      <c r="D13" s="133"/>
      <c r="E13" s="133"/>
    </row>
    <row r="14" spans="2:7" x14ac:dyDescent="0.25">
      <c r="B14" s="186" t="s">
        <v>405</v>
      </c>
      <c r="C14" s="238">
        <f>FrontOverlapLength</f>
        <v>1.5</v>
      </c>
      <c r="D14" s="133"/>
      <c r="E14" s="133"/>
    </row>
    <row r="15" spans="2:7" x14ac:dyDescent="0.25">
      <c r="D15" s="133"/>
      <c r="E15" s="133"/>
    </row>
    <row r="16" spans="2:7" x14ac:dyDescent="0.25">
      <c r="D16" s="133"/>
      <c r="E16" s="133"/>
    </row>
    <row r="17" spans="2:5" x14ac:dyDescent="0.25">
      <c r="D17" s="133"/>
      <c r="E17" s="133"/>
    </row>
    <row r="18" spans="2:5" x14ac:dyDescent="0.25">
      <c r="D18" s="133"/>
      <c r="E18" s="133"/>
    </row>
    <row r="19" spans="2:5" x14ac:dyDescent="0.25">
      <c r="B19" s="215"/>
      <c r="C19" s="261"/>
      <c r="D19" s="130"/>
      <c r="E19" s="130"/>
    </row>
    <row r="20" spans="2:5" x14ac:dyDescent="0.25">
      <c r="B20" s="215"/>
      <c r="C20" s="261"/>
      <c r="D20" s="130"/>
      <c r="E20" s="130"/>
    </row>
    <row r="21" spans="2:5" x14ac:dyDescent="0.25">
      <c r="C21" s="261"/>
      <c r="D21" s="130"/>
      <c r="E21" s="13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1"/>
  <sheetViews>
    <sheetView zoomScale="85" workbookViewId="0"/>
  </sheetViews>
  <sheetFormatPr defaultRowHeight="15" x14ac:dyDescent="0.25"/>
  <cols>
    <col min="1" max="1" width="22.5703125" bestFit="1" customWidth="1"/>
    <col min="2" max="2" width="2" customWidth="1"/>
    <col min="3" max="3" width="5.85546875" customWidth="1"/>
    <col min="4" max="4" width="19.5703125" bestFit="1" customWidth="1"/>
    <col min="5" max="5" width="8.42578125" bestFit="1" customWidth="1"/>
    <col min="6" max="6" width="10.140625" bestFit="1" customWidth="1"/>
    <col min="7" max="7" width="10.7109375" bestFit="1" customWidth="1"/>
    <col min="8" max="8" width="10.5703125" bestFit="1" customWidth="1"/>
    <col min="11" max="11" width="13.28515625" bestFit="1" customWidth="1"/>
    <col min="12" max="12" width="49.28515625" bestFit="1" customWidth="1"/>
    <col min="14" max="14" width="13.28515625" bestFit="1" customWidth="1"/>
    <col min="17" max="17" width="14.5703125" bestFit="1" customWidth="1"/>
    <col min="18" max="18" width="11.28515625" bestFit="1" customWidth="1"/>
    <col min="19" max="19" width="17.7109375" bestFit="1" customWidth="1"/>
  </cols>
  <sheetData>
    <row r="1" spans="1:20" ht="21.75" thickTop="1" thickBot="1" x14ac:dyDescent="0.35">
      <c r="A1" s="248"/>
      <c r="B1" s="197" t="s">
        <v>177</v>
      </c>
      <c r="C1" s="13"/>
      <c r="D1" s="187"/>
      <c r="E1" s="201"/>
      <c r="F1" s="23"/>
      <c r="G1" s="23"/>
      <c r="H1" s="220"/>
      <c r="I1" s="23"/>
      <c r="J1" s="23"/>
      <c r="K1" s="268"/>
      <c r="L1" s="13"/>
      <c r="M1" s="13"/>
      <c r="N1" s="13"/>
      <c r="O1" s="13"/>
      <c r="P1" s="23"/>
      <c r="Q1" s="13"/>
      <c r="R1" s="13"/>
      <c r="S1" s="13"/>
      <c r="T1" s="13"/>
    </row>
    <row r="2" spans="1:20" ht="65.25" thickTop="1" thickBot="1" x14ac:dyDescent="0.3">
      <c r="A2" s="248"/>
      <c r="B2" s="212"/>
      <c r="C2" s="208"/>
      <c r="D2" s="22" t="s">
        <v>579</v>
      </c>
      <c r="E2" s="22" t="s">
        <v>303</v>
      </c>
      <c r="F2" s="22" t="s">
        <v>228</v>
      </c>
      <c r="G2" s="22" t="s">
        <v>451</v>
      </c>
      <c r="H2" s="219" t="s">
        <v>304</v>
      </c>
      <c r="I2" s="22" t="s">
        <v>128</v>
      </c>
      <c r="J2" s="22" t="s">
        <v>481</v>
      </c>
      <c r="K2" s="22" t="s">
        <v>482</v>
      </c>
      <c r="L2" s="22" t="s">
        <v>413</v>
      </c>
      <c r="M2" s="22" t="s">
        <v>91</v>
      </c>
      <c r="N2" s="113" t="s">
        <v>92</v>
      </c>
      <c r="O2" s="22" t="s">
        <v>0</v>
      </c>
      <c r="P2" s="22" t="s">
        <v>93</v>
      </c>
      <c r="Q2" s="22" t="s">
        <v>129</v>
      </c>
      <c r="R2" s="22" t="s">
        <v>523</v>
      </c>
      <c r="S2" s="221" t="s">
        <v>130</v>
      </c>
      <c r="T2" s="113" t="s">
        <v>483</v>
      </c>
    </row>
    <row r="3" spans="1:20" ht="16.5" thickTop="1" thickBot="1" x14ac:dyDescent="0.3">
      <c r="A3" s="243" t="s">
        <v>452</v>
      </c>
      <c r="B3" s="61"/>
      <c r="C3" s="272"/>
      <c r="D3" s="19" t="s">
        <v>453</v>
      </c>
      <c r="E3" s="19" t="s">
        <v>131</v>
      </c>
      <c r="F3" s="19" t="s">
        <v>132</v>
      </c>
      <c r="G3" s="19" t="s">
        <v>377</v>
      </c>
      <c r="H3" s="19" t="s">
        <v>414</v>
      </c>
      <c r="I3" s="19" t="s">
        <v>1</v>
      </c>
      <c r="J3" s="19" t="s">
        <v>270</v>
      </c>
      <c r="K3" s="19" t="s">
        <v>2</v>
      </c>
      <c r="L3" s="19" t="s">
        <v>133</v>
      </c>
      <c r="M3" s="19" t="s">
        <v>271</v>
      </c>
      <c r="N3" s="77" t="s">
        <v>178</v>
      </c>
      <c r="O3" s="19" t="s">
        <v>3</v>
      </c>
      <c r="P3" s="19" t="s">
        <v>580</v>
      </c>
      <c r="Q3" s="19" t="s">
        <v>179</v>
      </c>
      <c r="R3" s="19" t="s">
        <v>134</v>
      </c>
      <c r="S3" s="77" t="s">
        <v>272</v>
      </c>
      <c r="T3" s="77" t="s">
        <v>581</v>
      </c>
    </row>
    <row r="4" spans="1:20" ht="17.25" thickTop="1" thickBot="1" x14ac:dyDescent="0.3">
      <c r="A4" s="243"/>
      <c r="B4" s="61"/>
      <c r="C4" s="181" t="s">
        <v>135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94"/>
      <c r="O4" s="21"/>
      <c r="P4" s="21"/>
      <c r="Q4" s="21"/>
      <c r="R4" s="21"/>
      <c r="S4" s="94"/>
      <c r="T4" s="178"/>
    </row>
    <row r="5" spans="1:20" ht="15.75" thickTop="1" x14ac:dyDescent="0.25">
      <c r="A5" s="4" t="str">
        <f t="shared" ref="A5:A98" si="0">CONCATENATE(E5,Q5)</f>
        <v>8STL GALV</v>
      </c>
      <c r="B5" s="61"/>
      <c r="C5" s="62"/>
      <c r="D5" s="14" t="s">
        <v>532</v>
      </c>
      <c r="E5" s="7">
        <v>8</v>
      </c>
      <c r="F5" s="1" t="s">
        <v>180</v>
      </c>
      <c r="G5" s="30">
        <v>0.156</v>
      </c>
      <c r="H5" s="27">
        <v>0.15601000000000001</v>
      </c>
      <c r="I5" s="1" t="s">
        <v>415</v>
      </c>
      <c r="J5" s="5" t="s">
        <v>4</v>
      </c>
      <c r="K5" s="4" t="s">
        <v>94</v>
      </c>
      <c r="L5" s="7" t="s">
        <v>339</v>
      </c>
      <c r="M5" s="1" t="s">
        <v>416</v>
      </c>
      <c r="N5" s="124" t="s">
        <v>181</v>
      </c>
      <c r="O5" s="1" t="s">
        <v>41</v>
      </c>
      <c r="P5" s="1" t="s">
        <v>182</v>
      </c>
      <c r="Q5" s="1" t="s">
        <v>229</v>
      </c>
      <c r="R5" s="4" t="s">
        <v>5</v>
      </c>
      <c r="S5" s="4" t="s">
        <v>582</v>
      </c>
      <c r="T5" s="28" t="s">
        <v>582</v>
      </c>
    </row>
    <row r="6" spans="1:20" x14ac:dyDescent="0.25">
      <c r="A6" s="4" t="str">
        <f t="shared" si="0"/>
        <v>10STL GALV</v>
      </c>
      <c r="B6" s="61"/>
      <c r="C6" s="62"/>
      <c r="D6" s="14" t="s">
        <v>532</v>
      </c>
      <c r="E6" s="7">
        <v>10</v>
      </c>
      <c r="F6" s="1" t="s">
        <v>484</v>
      </c>
      <c r="G6" s="30">
        <v>0.126</v>
      </c>
      <c r="H6" s="27">
        <v>0.12601000000000001</v>
      </c>
      <c r="I6" s="1" t="s">
        <v>417</v>
      </c>
      <c r="J6" s="1" t="s">
        <v>4</v>
      </c>
      <c r="K6" s="4" t="s">
        <v>533</v>
      </c>
      <c r="L6" s="7" t="s">
        <v>339</v>
      </c>
      <c r="M6" s="1" t="s">
        <v>416</v>
      </c>
      <c r="N6" s="124" t="s">
        <v>181</v>
      </c>
      <c r="O6" s="1" t="s">
        <v>41</v>
      </c>
      <c r="P6" s="1" t="s">
        <v>182</v>
      </c>
      <c r="Q6" s="1" t="s">
        <v>229</v>
      </c>
      <c r="R6" s="4" t="s">
        <v>454</v>
      </c>
      <c r="S6" s="4" t="s">
        <v>582</v>
      </c>
      <c r="T6" s="4" t="s">
        <v>582</v>
      </c>
    </row>
    <row r="7" spans="1:20" x14ac:dyDescent="0.25">
      <c r="A7" s="4" t="str">
        <f t="shared" si="0"/>
        <v>12STL GALV</v>
      </c>
      <c r="B7" s="61"/>
      <c r="C7" s="62"/>
      <c r="D7" s="14" t="s">
        <v>532</v>
      </c>
      <c r="E7" s="7">
        <v>12</v>
      </c>
      <c r="F7" s="1" t="s">
        <v>534</v>
      </c>
      <c r="G7" s="30">
        <v>9.7000000000000003E-2</v>
      </c>
      <c r="H7" s="27">
        <v>9.7009999999999999E-2</v>
      </c>
      <c r="I7" s="1" t="s">
        <v>417</v>
      </c>
      <c r="J7" s="1" t="s">
        <v>4</v>
      </c>
      <c r="K7" s="4" t="s">
        <v>273</v>
      </c>
      <c r="L7" s="7" t="s">
        <v>339</v>
      </c>
      <c r="M7" s="1" t="s">
        <v>416</v>
      </c>
      <c r="N7" s="124" t="s">
        <v>181</v>
      </c>
      <c r="O7" s="1" t="s">
        <v>535</v>
      </c>
      <c r="P7" s="1" t="s">
        <v>182</v>
      </c>
      <c r="Q7" s="1" t="s">
        <v>229</v>
      </c>
      <c r="R7" s="4" t="s">
        <v>43</v>
      </c>
      <c r="S7" s="4" t="s">
        <v>582</v>
      </c>
      <c r="T7" s="4" t="s">
        <v>582</v>
      </c>
    </row>
    <row r="8" spans="1:20" x14ac:dyDescent="0.25">
      <c r="A8" s="4" t="str">
        <f t="shared" si="0"/>
        <v>14STL GALV</v>
      </c>
      <c r="B8" s="61"/>
      <c r="C8" s="62"/>
      <c r="D8" s="14" t="s">
        <v>532</v>
      </c>
      <c r="E8" s="7">
        <v>14</v>
      </c>
      <c r="F8" s="1" t="s">
        <v>230</v>
      </c>
      <c r="G8" s="30">
        <v>7.0000000000000007E-2</v>
      </c>
      <c r="H8" s="27">
        <v>7.0010000000000003E-2</v>
      </c>
      <c r="I8" s="1" t="s">
        <v>417</v>
      </c>
      <c r="J8" s="1" t="s">
        <v>4</v>
      </c>
      <c r="K8" s="4" t="s">
        <v>583</v>
      </c>
      <c r="L8" s="7" t="s">
        <v>339</v>
      </c>
      <c r="M8" s="1" t="s">
        <v>416</v>
      </c>
      <c r="N8" s="124" t="s">
        <v>181</v>
      </c>
      <c r="O8" s="1" t="s">
        <v>535</v>
      </c>
      <c r="P8" s="1" t="s">
        <v>182</v>
      </c>
      <c r="Q8" s="1" t="s">
        <v>229</v>
      </c>
      <c r="R8" s="4" t="s">
        <v>485</v>
      </c>
      <c r="S8" s="4" t="s">
        <v>582</v>
      </c>
      <c r="T8" s="4" t="s">
        <v>582</v>
      </c>
    </row>
    <row r="9" spans="1:20" x14ac:dyDescent="0.25">
      <c r="A9" s="4" t="str">
        <f t="shared" si="0"/>
        <v>16STL GALV</v>
      </c>
      <c r="B9" s="61"/>
      <c r="C9" s="62"/>
      <c r="D9" s="14" t="s">
        <v>532</v>
      </c>
      <c r="E9" s="7">
        <v>16</v>
      </c>
      <c r="F9" s="1" t="s">
        <v>340</v>
      </c>
      <c r="G9" s="30">
        <v>5.6000000000000001E-2</v>
      </c>
      <c r="H9" s="27">
        <v>5.6009999999999997E-2</v>
      </c>
      <c r="I9" s="1" t="s">
        <v>415</v>
      </c>
      <c r="J9" s="1" t="s">
        <v>4</v>
      </c>
      <c r="K9" s="4" t="s">
        <v>274</v>
      </c>
      <c r="L9" s="7" t="s">
        <v>339</v>
      </c>
      <c r="M9" s="1" t="s">
        <v>416</v>
      </c>
      <c r="N9" s="124" t="s">
        <v>181</v>
      </c>
      <c r="O9" s="1" t="s">
        <v>535</v>
      </c>
      <c r="P9" s="1" t="s">
        <v>182</v>
      </c>
      <c r="Q9" s="1" t="s">
        <v>229</v>
      </c>
      <c r="R9" s="4" t="s">
        <v>305</v>
      </c>
      <c r="S9" s="4" t="s">
        <v>582</v>
      </c>
      <c r="T9" s="4" t="s">
        <v>582</v>
      </c>
    </row>
    <row r="10" spans="1:20" x14ac:dyDescent="0.25">
      <c r="A10" s="4" t="str">
        <f t="shared" si="0"/>
        <v>18STL GALV</v>
      </c>
      <c r="B10" s="61"/>
      <c r="C10" s="62"/>
      <c r="D10" s="14" t="s">
        <v>532</v>
      </c>
      <c r="E10" s="7">
        <v>18</v>
      </c>
      <c r="F10" s="1" t="s">
        <v>341</v>
      </c>
      <c r="G10" s="30">
        <v>4.4999999999999998E-2</v>
      </c>
      <c r="H10" s="27">
        <v>4.5010000000000001E-2</v>
      </c>
      <c r="I10" s="1" t="s">
        <v>415</v>
      </c>
      <c r="J10" s="1" t="s">
        <v>4</v>
      </c>
      <c r="K10" s="4" t="s">
        <v>584</v>
      </c>
      <c r="L10" s="7" t="s">
        <v>339</v>
      </c>
      <c r="M10" s="1" t="s">
        <v>416</v>
      </c>
      <c r="N10" s="124" t="s">
        <v>181</v>
      </c>
      <c r="O10" s="1" t="s">
        <v>535</v>
      </c>
      <c r="P10" s="1" t="s">
        <v>182</v>
      </c>
      <c r="Q10" s="1" t="s">
        <v>229</v>
      </c>
      <c r="R10" s="4" t="s">
        <v>136</v>
      </c>
      <c r="S10" s="4" t="s">
        <v>582</v>
      </c>
      <c r="T10" s="4" t="s">
        <v>582</v>
      </c>
    </row>
    <row r="11" spans="1:20" x14ac:dyDescent="0.25">
      <c r="A11" s="4" t="str">
        <f t="shared" si="0"/>
        <v>20STL GALV</v>
      </c>
      <c r="B11" s="61"/>
      <c r="C11" s="62"/>
      <c r="D11" s="14" t="s">
        <v>532</v>
      </c>
      <c r="E11" s="7">
        <v>20</v>
      </c>
      <c r="F11" s="1" t="s">
        <v>342</v>
      </c>
      <c r="G11" s="30">
        <v>3.4000000000000002E-2</v>
      </c>
      <c r="H11" s="27">
        <v>3.4009999999999999E-2</v>
      </c>
      <c r="I11" s="1" t="s">
        <v>415</v>
      </c>
      <c r="J11" s="1" t="s">
        <v>4</v>
      </c>
      <c r="K11" s="4" t="s">
        <v>418</v>
      </c>
      <c r="L11" s="7" t="s">
        <v>339</v>
      </c>
      <c r="M11" s="1" t="s">
        <v>416</v>
      </c>
      <c r="N11" s="124" t="s">
        <v>181</v>
      </c>
      <c r="O11" s="1" t="s">
        <v>535</v>
      </c>
      <c r="P11" s="1" t="s">
        <v>182</v>
      </c>
      <c r="Q11" s="1" t="s">
        <v>229</v>
      </c>
      <c r="R11" s="4" t="s">
        <v>487</v>
      </c>
      <c r="S11" s="4" t="s">
        <v>582</v>
      </c>
      <c r="T11" s="4" t="s">
        <v>582</v>
      </c>
    </row>
    <row r="12" spans="1:20" x14ac:dyDescent="0.25">
      <c r="A12" s="4" t="str">
        <f t="shared" si="0"/>
        <v>22STL GALV</v>
      </c>
      <c r="B12" s="61"/>
      <c r="C12" s="62"/>
      <c r="D12" s="14" t="s">
        <v>532</v>
      </c>
      <c r="E12" s="7" t="s">
        <v>6</v>
      </c>
      <c r="F12" s="1" t="s">
        <v>7</v>
      </c>
      <c r="G12" s="30">
        <v>2.8000000000000001E-2</v>
      </c>
      <c r="H12" s="27">
        <v>2.801E-2</v>
      </c>
      <c r="I12" s="1" t="s">
        <v>417</v>
      </c>
      <c r="J12" s="1" t="s">
        <v>4</v>
      </c>
      <c r="K12" s="91" t="s">
        <v>95</v>
      </c>
      <c r="L12" s="7" t="s">
        <v>339</v>
      </c>
      <c r="M12" s="1" t="s">
        <v>416</v>
      </c>
      <c r="N12" s="124" t="s">
        <v>181</v>
      </c>
      <c r="O12" s="1" t="s">
        <v>535</v>
      </c>
      <c r="P12" s="1" t="s">
        <v>182</v>
      </c>
      <c r="Q12" s="1" t="s">
        <v>229</v>
      </c>
      <c r="R12" s="4" t="s">
        <v>231</v>
      </c>
      <c r="S12" s="4" t="s">
        <v>582</v>
      </c>
      <c r="T12" s="4" t="s">
        <v>582</v>
      </c>
    </row>
    <row r="13" spans="1:20" x14ac:dyDescent="0.25">
      <c r="A13" s="4" t="str">
        <f t="shared" si="0"/>
        <v>24STL GALV</v>
      </c>
      <c r="B13" s="61"/>
      <c r="C13" s="62"/>
      <c r="D13" s="14" t="s">
        <v>532</v>
      </c>
      <c r="E13" s="14" t="s">
        <v>343</v>
      </c>
      <c r="F13" s="3" t="s">
        <v>306</v>
      </c>
      <c r="G13" s="49">
        <v>2.1999999999999999E-2</v>
      </c>
      <c r="H13" s="44">
        <v>2.2009999999999998E-2</v>
      </c>
      <c r="I13" s="3" t="s">
        <v>415</v>
      </c>
      <c r="J13" s="1" t="s">
        <v>4</v>
      </c>
      <c r="K13" s="91" t="s">
        <v>419</v>
      </c>
      <c r="L13" s="7" t="s">
        <v>339</v>
      </c>
      <c r="M13" s="1" t="s">
        <v>416</v>
      </c>
      <c r="N13" s="124" t="s">
        <v>181</v>
      </c>
      <c r="O13" s="1" t="s">
        <v>535</v>
      </c>
      <c r="P13" s="1" t="s">
        <v>182</v>
      </c>
      <c r="Q13" s="1" t="s">
        <v>229</v>
      </c>
      <c r="R13" s="24" t="s">
        <v>488</v>
      </c>
      <c r="S13" s="4" t="s">
        <v>582</v>
      </c>
      <c r="T13" s="4" t="s">
        <v>582</v>
      </c>
    </row>
    <row r="14" spans="1:20" x14ac:dyDescent="0.25">
      <c r="A14" s="4" t="str">
        <f t="shared" si="0"/>
        <v>16STL GALV2</v>
      </c>
      <c r="B14" s="61"/>
      <c r="C14" s="62"/>
      <c r="D14" s="7" t="s">
        <v>344</v>
      </c>
      <c r="E14" s="7">
        <v>16</v>
      </c>
      <c r="F14" s="1" t="s">
        <v>340</v>
      </c>
      <c r="G14" s="30">
        <v>5.6000000000000001E-2</v>
      </c>
      <c r="H14" s="27">
        <v>5.6050000000000003E-2</v>
      </c>
      <c r="I14" s="1" t="s">
        <v>417</v>
      </c>
      <c r="J14" s="1" t="s">
        <v>4</v>
      </c>
      <c r="K14" s="1" t="s">
        <v>489</v>
      </c>
      <c r="L14" s="7" t="s">
        <v>137</v>
      </c>
      <c r="M14" s="1" t="s">
        <v>536</v>
      </c>
      <c r="N14" s="124" t="s">
        <v>181</v>
      </c>
      <c r="O14" s="3" t="s">
        <v>96</v>
      </c>
      <c r="P14" s="3" t="s">
        <v>182</v>
      </c>
      <c r="Q14" s="1" t="s">
        <v>490</v>
      </c>
      <c r="R14" s="4" t="s">
        <v>613</v>
      </c>
      <c r="S14" s="4" t="s">
        <v>582</v>
      </c>
      <c r="T14" s="4" t="s">
        <v>582</v>
      </c>
    </row>
    <row r="15" spans="1:20" x14ac:dyDescent="0.25">
      <c r="A15" s="4" t="str">
        <f t="shared" si="0"/>
        <v>16STL GALV3</v>
      </c>
      <c r="B15" s="61"/>
      <c r="C15" s="62"/>
      <c r="D15" s="7" t="s">
        <v>344</v>
      </c>
      <c r="E15" s="7">
        <v>16</v>
      </c>
      <c r="F15" s="1" t="s">
        <v>340</v>
      </c>
      <c r="G15" s="30">
        <v>5.6000000000000001E-2</v>
      </c>
      <c r="H15" s="27">
        <v>5.6059999999999999E-2</v>
      </c>
      <c r="I15" s="1" t="s">
        <v>417</v>
      </c>
      <c r="J15" s="1" t="s">
        <v>4</v>
      </c>
      <c r="K15" s="1" t="s">
        <v>183</v>
      </c>
      <c r="L15" s="7" t="s">
        <v>44</v>
      </c>
      <c r="M15" s="1" t="s">
        <v>536</v>
      </c>
      <c r="N15" s="124" t="s">
        <v>181</v>
      </c>
      <c r="O15" s="3" t="s">
        <v>138</v>
      </c>
      <c r="P15" s="3" t="s">
        <v>182</v>
      </c>
      <c r="Q15" s="1" t="s">
        <v>8</v>
      </c>
      <c r="R15" s="4" t="s">
        <v>139</v>
      </c>
      <c r="S15" s="4" t="s">
        <v>582</v>
      </c>
      <c r="T15" s="4" t="s">
        <v>582</v>
      </c>
    </row>
    <row r="16" spans="1:20" x14ac:dyDescent="0.25">
      <c r="A16" s="4" t="str">
        <f t="shared" si="0"/>
        <v>16STL GALV4</v>
      </c>
      <c r="B16" s="61"/>
      <c r="C16" s="62"/>
      <c r="D16" s="7" t="s">
        <v>344</v>
      </c>
      <c r="E16" s="7">
        <v>16</v>
      </c>
      <c r="F16" s="1" t="s">
        <v>340</v>
      </c>
      <c r="G16" s="30">
        <v>5.6000000000000001E-2</v>
      </c>
      <c r="H16" s="27">
        <v>5.6070000000000002E-2</v>
      </c>
      <c r="I16" s="1" t="s">
        <v>417</v>
      </c>
      <c r="J16" s="1" t="s">
        <v>4</v>
      </c>
      <c r="K16" s="1" t="s">
        <v>491</v>
      </c>
      <c r="L16" s="7" t="s">
        <v>585</v>
      </c>
      <c r="M16" s="1" t="s">
        <v>536</v>
      </c>
      <c r="N16" s="124" t="s">
        <v>181</v>
      </c>
      <c r="O16" s="1" t="s">
        <v>184</v>
      </c>
      <c r="P16" s="3" t="s">
        <v>182</v>
      </c>
      <c r="Q16" s="1" t="s">
        <v>232</v>
      </c>
      <c r="R16" s="4" t="s">
        <v>307</v>
      </c>
      <c r="S16" s="4" t="s">
        <v>582</v>
      </c>
      <c r="T16" s="4" t="s">
        <v>582</v>
      </c>
    </row>
    <row r="17" spans="1:20" x14ac:dyDescent="0.25">
      <c r="A17" s="4" t="str">
        <f t="shared" si="0"/>
        <v>18STL GALVS</v>
      </c>
      <c r="B17" s="61"/>
      <c r="C17" s="62"/>
      <c r="D17" s="7" t="s">
        <v>344</v>
      </c>
      <c r="E17" s="7">
        <v>18</v>
      </c>
      <c r="F17" s="1" t="s">
        <v>341</v>
      </c>
      <c r="G17" s="30">
        <v>4.4999999999999998E-2</v>
      </c>
      <c r="H17" s="27">
        <v>4.5019999999999998E-2</v>
      </c>
      <c r="I17" s="1" t="s">
        <v>415</v>
      </c>
      <c r="J17" s="1" t="s">
        <v>417</v>
      </c>
      <c r="K17" s="91" t="s">
        <v>275</v>
      </c>
      <c r="L17" s="7" t="s">
        <v>45</v>
      </c>
      <c r="M17" s="1" t="s">
        <v>416</v>
      </c>
      <c r="N17" s="124" t="s">
        <v>181</v>
      </c>
      <c r="O17" s="1" t="s">
        <v>345</v>
      </c>
      <c r="P17" s="3" t="s">
        <v>182</v>
      </c>
      <c r="Q17" s="1" t="s">
        <v>185</v>
      </c>
      <c r="R17" s="4" t="s">
        <v>308</v>
      </c>
      <c r="S17" s="4" t="s">
        <v>582</v>
      </c>
      <c r="T17" s="4" t="s">
        <v>582</v>
      </c>
    </row>
    <row r="18" spans="1:20" x14ac:dyDescent="0.25">
      <c r="A18" s="4" t="str">
        <f t="shared" si="0"/>
        <v>16STL GALVR</v>
      </c>
      <c r="B18" s="61"/>
      <c r="C18" s="62"/>
      <c r="D18" s="7" t="s">
        <v>344</v>
      </c>
      <c r="E18" s="7">
        <v>16</v>
      </c>
      <c r="F18" s="1" t="s">
        <v>340</v>
      </c>
      <c r="G18" s="30">
        <v>5.6000000000000001E-2</v>
      </c>
      <c r="H18" s="27">
        <v>5.602E-2</v>
      </c>
      <c r="I18" s="1" t="s">
        <v>415</v>
      </c>
      <c r="J18" s="1" t="s">
        <v>417</v>
      </c>
      <c r="K18" s="91" t="s">
        <v>233</v>
      </c>
      <c r="L18" s="7" t="s">
        <v>309</v>
      </c>
      <c r="M18" s="1" t="s">
        <v>416</v>
      </c>
      <c r="N18" s="124" t="s">
        <v>181</v>
      </c>
      <c r="O18" s="1" t="s">
        <v>614</v>
      </c>
      <c r="P18" s="3" t="s">
        <v>182</v>
      </c>
      <c r="Q18" s="1" t="s">
        <v>9</v>
      </c>
      <c r="R18" s="4" t="s">
        <v>455</v>
      </c>
      <c r="S18" s="4" t="s">
        <v>582</v>
      </c>
      <c r="T18" s="4" t="s">
        <v>582</v>
      </c>
    </row>
    <row r="19" spans="1:20" x14ac:dyDescent="0.25">
      <c r="A19" s="4" t="str">
        <f t="shared" si="0"/>
        <v>14STL GALV PPG</v>
      </c>
      <c r="B19" s="61"/>
      <c r="C19" s="62"/>
      <c r="D19" s="7" t="s">
        <v>46</v>
      </c>
      <c r="E19" s="7">
        <v>14</v>
      </c>
      <c r="F19" s="1" t="s">
        <v>230</v>
      </c>
      <c r="G19" s="30">
        <v>7.0000000000000007E-2</v>
      </c>
      <c r="H19" s="27">
        <v>7.0029999999999995E-2</v>
      </c>
      <c r="I19" s="1" t="s">
        <v>417</v>
      </c>
      <c r="J19" s="1" t="s">
        <v>4</v>
      </c>
      <c r="K19" s="1" t="s">
        <v>378</v>
      </c>
      <c r="L19" s="7" t="s">
        <v>47</v>
      </c>
      <c r="M19" s="1" t="s">
        <v>492</v>
      </c>
      <c r="N19" s="4" t="s">
        <v>48</v>
      </c>
      <c r="O19" s="1" t="s">
        <v>186</v>
      </c>
      <c r="P19" s="1" t="s">
        <v>182</v>
      </c>
      <c r="Q19" s="1" t="s">
        <v>493</v>
      </c>
      <c r="R19" s="4" t="s">
        <v>175</v>
      </c>
      <c r="S19" s="1" t="s">
        <v>10</v>
      </c>
      <c r="T19" s="1" t="s">
        <v>582</v>
      </c>
    </row>
    <row r="20" spans="1:20" x14ac:dyDescent="0.25">
      <c r="A20" s="4" t="str">
        <f t="shared" si="0"/>
        <v>16STL GALV PPG</v>
      </c>
      <c r="B20" s="61"/>
      <c r="C20" s="62"/>
      <c r="D20" s="7" t="s">
        <v>46</v>
      </c>
      <c r="E20" s="7">
        <v>16</v>
      </c>
      <c r="F20" s="1" t="s">
        <v>340</v>
      </c>
      <c r="G20" s="30">
        <v>5.6000000000000001E-2</v>
      </c>
      <c r="H20" s="27">
        <v>5.6030000000000003E-2</v>
      </c>
      <c r="I20" s="1" t="s">
        <v>417</v>
      </c>
      <c r="J20" s="1" t="s">
        <v>4</v>
      </c>
      <c r="K20" s="1" t="s">
        <v>97</v>
      </c>
      <c r="L20" s="7" t="s">
        <v>615</v>
      </c>
      <c r="M20" s="46" t="s">
        <v>492</v>
      </c>
      <c r="N20" s="4" t="s">
        <v>48</v>
      </c>
      <c r="O20" s="1" t="s">
        <v>186</v>
      </c>
      <c r="P20" s="1" t="s">
        <v>182</v>
      </c>
      <c r="Q20" s="1" t="s">
        <v>493</v>
      </c>
      <c r="R20" s="4" t="s">
        <v>528</v>
      </c>
      <c r="S20" s="1" t="s">
        <v>10</v>
      </c>
      <c r="T20" s="1" t="s">
        <v>582</v>
      </c>
    </row>
    <row r="21" spans="1:20" x14ac:dyDescent="0.25">
      <c r="A21" s="4" t="str">
        <f t="shared" si="0"/>
        <v>16STL GALV PPC</v>
      </c>
      <c r="B21" s="61"/>
      <c r="C21" s="62"/>
      <c r="D21" s="7" t="s">
        <v>46</v>
      </c>
      <c r="E21" s="7">
        <v>16</v>
      </c>
      <c r="F21" s="1" t="s">
        <v>340</v>
      </c>
      <c r="G21" s="30">
        <v>5.6000000000000001E-2</v>
      </c>
      <c r="H21" s="27">
        <v>5.604E-2</v>
      </c>
      <c r="I21" s="1" t="s">
        <v>417</v>
      </c>
      <c r="J21" s="1" t="s">
        <v>4</v>
      </c>
      <c r="K21" s="1" t="s">
        <v>420</v>
      </c>
      <c r="L21" s="7" t="s">
        <v>98</v>
      </c>
      <c r="M21" s="1" t="s">
        <v>492</v>
      </c>
      <c r="N21" s="4" t="s">
        <v>48</v>
      </c>
      <c r="O21" s="3" t="s">
        <v>186</v>
      </c>
      <c r="P21" s="1" t="s">
        <v>182</v>
      </c>
      <c r="Q21" s="1" t="s">
        <v>456</v>
      </c>
      <c r="R21" s="4" t="s">
        <v>39</v>
      </c>
      <c r="S21" s="1" t="s">
        <v>379</v>
      </c>
      <c r="T21" s="1" t="s">
        <v>582</v>
      </c>
    </row>
    <row r="22" spans="1:20" x14ac:dyDescent="0.25">
      <c r="A22" s="4" t="str">
        <f t="shared" si="0"/>
        <v>18STL GALV PPW</v>
      </c>
      <c r="B22" s="61"/>
      <c r="C22" s="62"/>
      <c r="D22" s="7" t="s">
        <v>46</v>
      </c>
      <c r="E22" s="7">
        <v>18</v>
      </c>
      <c r="F22" s="1" t="s">
        <v>341</v>
      </c>
      <c r="G22" s="30">
        <v>4.4999999999999998E-2</v>
      </c>
      <c r="H22" s="27">
        <v>4.5030000000000001E-2</v>
      </c>
      <c r="I22" s="1" t="s">
        <v>417</v>
      </c>
      <c r="J22" s="1" t="s">
        <v>4</v>
      </c>
      <c r="K22" s="1" t="s">
        <v>586</v>
      </c>
      <c r="L22" s="7" t="s">
        <v>140</v>
      </c>
      <c r="M22" s="1" t="s">
        <v>492</v>
      </c>
      <c r="N22" s="4" t="s">
        <v>48</v>
      </c>
      <c r="O22" s="1" t="s">
        <v>186</v>
      </c>
      <c r="P22" s="1" t="s">
        <v>182</v>
      </c>
      <c r="Q22" s="1" t="s">
        <v>537</v>
      </c>
      <c r="R22" s="4" t="s">
        <v>376</v>
      </c>
      <c r="S22" s="1" t="s">
        <v>276</v>
      </c>
      <c r="T22" s="1" t="s">
        <v>582</v>
      </c>
    </row>
    <row r="23" spans="1:20" x14ac:dyDescent="0.25">
      <c r="A23" s="4" t="str">
        <f t="shared" si="0"/>
        <v>18STL GALV PPC</v>
      </c>
      <c r="B23" s="61"/>
      <c r="C23" s="62"/>
      <c r="D23" s="7" t="s">
        <v>46</v>
      </c>
      <c r="E23" s="7">
        <v>18</v>
      </c>
      <c r="F23" s="1" t="s">
        <v>341</v>
      </c>
      <c r="G23" s="30">
        <v>4.4999999999999998E-2</v>
      </c>
      <c r="H23" s="27">
        <v>4.5039999999999997E-2</v>
      </c>
      <c r="I23" s="1" t="s">
        <v>417</v>
      </c>
      <c r="J23" s="1" t="s">
        <v>4</v>
      </c>
      <c r="K23" s="1" t="s">
        <v>99</v>
      </c>
      <c r="L23" s="7" t="s">
        <v>100</v>
      </c>
      <c r="M23" s="1" t="s">
        <v>492</v>
      </c>
      <c r="N23" s="4" t="s">
        <v>48</v>
      </c>
      <c r="O23" s="1" t="s">
        <v>186</v>
      </c>
      <c r="P23" s="1" t="s">
        <v>182</v>
      </c>
      <c r="Q23" s="1" t="s">
        <v>456</v>
      </c>
      <c r="R23" s="4" t="s">
        <v>529</v>
      </c>
      <c r="S23" s="1" t="s">
        <v>379</v>
      </c>
      <c r="T23" s="1" t="s">
        <v>582</v>
      </c>
    </row>
    <row r="24" spans="1:20" x14ac:dyDescent="0.25">
      <c r="A24" s="68" t="str">
        <f t="shared" si="0"/>
        <v>20STL GALV PPC</v>
      </c>
      <c r="B24" s="101"/>
      <c r="C24" s="122"/>
      <c r="D24" s="42" t="s">
        <v>46</v>
      </c>
      <c r="E24" s="42" t="s">
        <v>347</v>
      </c>
      <c r="F24" s="5" t="s">
        <v>342</v>
      </c>
      <c r="G24" s="87">
        <v>3.4000000000000002E-2</v>
      </c>
      <c r="H24" s="97">
        <v>3.4040000000000001E-2</v>
      </c>
      <c r="I24" s="5" t="s">
        <v>415</v>
      </c>
      <c r="J24" s="5" t="s">
        <v>4</v>
      </c>
      <c r="K24" s="5" t="s">
        <v>573</v>
      </c>
      <c r="L24" s="42" t="s">
        <v>83</v>
      </c>
      <c r="M24" s="5" t="s">
        <v>492</v>
      </c>
      <c r="N24" s="72" t="s">
        <v>168</v>
      </c>
      <c r="O24" s="5" t="s">
        <v>186</v>
      </c>
      <c r="P24" s="5" t="s">
        <v>182</v>
      </c>
      <c r="Q24" s="5" t="s">
        <v>456</v>
      </c>
      <c r="R24" s="216" t="s">
        <v>169</v>
      </c>
      <c r="S24" s="5" t="s">
        <v>379</v>
      </c>
      <c r="T24" s="5" t="s">
        <v>582</v>
      </c>
    </row>
    <row r="25" spans="1:20" x14ac:dyDescent="0.25">
      <c r="A25" s="4" t="str">
        <f t="shared" si="0"/>
        <v>10STL HOT ROLL</v>
      </c>
      <c r="B25" s="61"/>
      <c r="C25" s="62"/>
      <c r="D25" s="14" t="s">
        <v>421</v>
      </c>
      <c r="E25" s="14" t="s">
        <v>494</v>
      </c>
      <c r="F25" s="73" t="s">
        <v>187</v>
      </c>
      <c r="G25" s="107">
        <v>0.127</v>
      </c>
      <c r="H25" s="44">
        <v>0.12701000000000001</v>
      </c>
      <c r="I25" s="3" t="s">
        <v>417</v>
      </c>
      <c r="J25" s="1" t="s">
        <v>4</v>
      </c>
      <c r="K25" s="1" t="s">
        <v>234</v>
      </c>
      <c r="L25" s="7" t="s">
        <v>538</v>
      </c>
      <c r="M25" s="1" t="s">
        <v>616</v>
      </c>
      <c r="N25" s="4" t="s">
        <v>417</v>
      </c>
      <c r="O25" s="1" t="s">
        <v>41</v>
      </c>
      <c r="P25" s="1" t="s">
        <v>182</v>
      </c>
      <c r="Q25" s="3" t="s">
        <v>141</v>
      </c>
      <c r="R25" s="24" t="s">
        <v>301</v>
      </c>
      <c r="S25" s="1" t="s">
        <v>539</v>
      </c>
      <c r="T25" s="1" t="s">
        <v>582</v>
      </c>
    </row>
    <row r="26" spans="1:20" x14ac:dyDescent="0.25">
      <c r="A26" s="4" t="str">
        <f t="shared" si="0"/>
        <v>11STL HOT ROLL</v>
      </c>
      <c r="B26" s="61"/>
      <c r="C26" s="62"/>
      <c r="D26" s="14" t="s">
        <v>421</v>
      </c>
      <c r="E26" s="14" t="s">
        <v>11</v>
      </c>
      <c r="F26" s="73" t="s">
        <v>142</v>
      </c>
      <c r="G26" s="107">
        <v>0.112</v>
      </c>
      <c r="H26" s="44">
        <v>0.11201</v>
      </c>
      <c r="I26" s="3" t="s">
        <v>417</v>
      </c>
      <c r="J26" s="1" t="s">
        <v>4</v>
      </c>
      <c r="K26" s="1" t="s">
        <v>380</v>
      </c>
      <c r="L26" s="7" t="s">
        <v>495</v>
      </c>
      <c r="M26" s="1" t="s">
        <v>616</v>
      </c>
      <c r="N26" s="4" t="s">
        <v>417</v>
      </c>
      <c r="O26" s="1" t="s">
        <v>310</v>
      </c>
      <c r="P26" s="1" t="s">
        <v>182</v>
      </c>
      <c r="Q26" s="3" t="s">
        <v>141</v>
      </c>
      <c r="R26" s="24" t="s">
        <v>90</v>
      </c>
      <c r="S26" s="1" t="s">
        <v>539</v>
      </c>
      <c r="T26" s="1" t="s">
        <v>582</v>
      </c>
    </row>
    <row r="27" spans="1:20" x14ac:dyDescent="0.25">
      <c r="A27" s="4" t="str">
        <f t="shared" si="0"/>
        <v>12STL HOT ROLL</v>
      </c>
      <c r="B27" s="61"/>
      <c r="C27" s="62"/>
      <c r="D27" s="14" t="s">
        <v>421</v>
      </c>
      <c r="E27" s="14" t="s">
        <v>188</v>
      </c>
      <c r="F27" s="3" t="s">
        <v>42</v>
      </c>
      <c r="G27" s="49">
        <v>9.7000000000000003E-2</v>
      </c>
      <c r="H27" s="44">
        <v>9.7040000000000001E-2</v>
      </c>
      <c r="I27" s="3" t="s">
        <v>417</v>
      </c>
      <c r="J27" s="1" t="s">
        <v>4</v>
      </c>
      <c r="K27" s="1" t="s">
        <v>540</v>
      </c>
      <c r="L27" s="7" t="s">
        <v>457</v>
      </c>
      <c r="M27" s="1" t="s">
        <v>616</v>
      </c>
      <c r="N27" s="126" t="s">
        <v>417</v>
      </c>
      <c r="O27" s="1" t="s">
        <v>310</v>
      </c>
      <c r="P27" s="1" t="s">
        <v>182</v>
      </c>
      <c r="Q27" s="1" t="s">
        <v>141</v>
      </c>
      <c r="R27" s="24" t="s">
        <v>649</v>
      </c>
      <c r="S27" s="1" t="s">
        <v>539</v>
      </c>
      <c r="T27" s="1" t="s">
        <v>582</v>
      </c>
    </row>
    <row r="28" spans="1:20" x14ac:dyDescent="0.25">
      <c r="A28" s="4" t="str">
        <f t="shared" si="0"/>
        <v>14STL HOT ROLL</v>
      </c>
      <c r="B28" s="61"/>
      <c r="C28" s="62"/>
      <c r="D28" s="14" t="s">
        <v>421</v>
      </c>
      <c r="E28" s="14" t="s">
        <v>496</v>
      </c>
      <c r="F28" s="73" t="s">
        <v>49</v>
      </c>
      <c r="G28" s="107">
        <v>6.8000000000000005E-2</v>
      </c>
      <c r="H28" s="44">
        <v>6.8010000000000001E-2</v>
      </c>
      <c r="I28" s="3" t="s">
        <v>417</v>
      </c>
      <c r="J28" s="1" t="s">
        <v>4</v>
      </c>
      <c r="K28" s="1" t="s">
        <v>277</v>
      </c>
      <c r="L28" s="7" t="s">
        <v>381</v>
      </c>
      <c r="M28" s="1" t="s">
        <v>616</v>
      </c>
      <c r="N28" s="126" t="s">
        <v>417</v>
      </c>
      <c r="O28" s="1" t="s">
        <v>346</v>
      </c>
      <c r="P28" s="1" t="s">
        <v>182</v>
      </c>
      <c r="Q28" s="3" t="s">
        <v>141</v>
      </c>
      <c r="R28" s="24" t="s">
        <v>176</v>
      </c>
      <c r="S28" s="1" t="s">
        <v>539</v>
      </c>
      <c r="T28" s="1" t="s">
        <v>582</v>
      </c>
    </row>
    <row r="29" spans="1:20" x14ac:dyDescent="0.25">
      <c r="A29" s="4" t="str">
        <f t="shared" si="0"/>
        <v>20ALM SHT</v>
      </c>
      <c r="B29" s="61"/>
      <c r="C29" s="62"/>
      <c r="D29" s="7" t="s">
        <v>541</v>
      </c>
      <c r="E29" s="7" t="s">
        <v>347</v>
      </c>
      <c r="F29" s="1" t="s">
        <v>348</v>
      </c>
      <c r="G29" s="30">
        <v>0.04</v>
      </c>
      <c r="H29" s="27">
        <v>4.0009999999999997E-2</v>
      </c>
      <c r="I29" s="1" t="s">
        <v>417</v>
      </c>
      <c r="J29" s="1" t="s">
        <v>4</v>
      </c>
      <c r="K29" s="38" t="s">
        <v>189</v>
      </c>
      <c r="L29" s="64" t="s">
        <v>235</v>
      </c>
      <c r="M29" s="1" t="s">
        <v>50</v>
      </c>
      <c r="N29" s="126" t="s">
        <v>143</v>
      </c>
      <c r="O29" s="1" t="s">
        <v>349</v>
      </c>
      <c r="P29" s="3" t="s">
        <v>182</v>
      </c>
      <c r="Q29" s="1" t="s">
        <v>617</v>
      </c>
      <c r="R29" s="1" t="s">
        <v>458</v>
      </c>
      <c r="S29" s="1" t="s">
        <v>582</v>
      </c>
      <c r="T29" s="1" t="s">
        <v>582</v>
      </c>
    </row>
    <row r="30" spans="1:20" x14ac:dyDescent="0.25">
      <c r="A30" s="4" t="str">
        <f t="shared" si="0"/>
        <v>18ALM SHT</v>
      </c>
      <c r="B30" s="61"/>
      <c r="C30" s="62"/>
      <c r="D30" s="7" t="s">
        <v>541</v>
      </c>
      <c r="E30" s="7" t="s">
        <v>542</v>
      </c>
      <c r="F30" s="1" t="s">
        <v>190</v>
      </c>
      <c r="G30" s="30">
        <v>0.05</v>
      </c>
      <c r="H30" s="27">
        <v>5.0029999999999998E-2</v>
      </c>
      <c r="I30" s="1" t="s">
        <v>417</v>
      </c>
      <c r="J30" s="1" t="s">
        <v>4</v>
      </c>
      <c r="K30" s="38" t="s">
        <v>12</v>
      </c>
      <c r="L30" s="64" t="s">
        <v>459</v>
      </c>
      <c r="M30" s="1" t="s">
        <v>50</v>
      </c>
      <c r="N30" s="126" t="s">
        <v>143</v>
      </c>
      <c r="O30" s="1" t="s">
        <v>349</v>
      </c>
      <c r="P30" s="3" t="s">
        <v>182</v>
      </c>
      <c r="Q30" s="1" t="s">
        <v>617</v>
      </c>
      <c r="R30" s="1" t="s">
        <v>144</v>
      </c>
      <c r="S30" s="1" t="s">
        <v>582</v>
      </c>
      <c r="T30" s="1" t="s">
        <v>582</v>
      </c>
    </row>
    <row r="31" spans="1:20" x14ac:dyDescent="0.25">
      <c r="A31" s="4" t="str">
        <f t="shared" si="0"/>
        <v>16ALM SHT</v>
      </c>
      <c r="B31" s="61"/>
      <c r="C31" s="62"/>
      <c r="D31" s="7" t="s">
        <v>541</v>
      </c>
      <c r="E31" s="7" t="s">
        <v>191</v>
      </c>
      <c r="F31" s="1" t="s">
        <v>497</v>
      </c>
      <c r="G31" s="30">
        <v>6.3E-2</v>
      </c>
      <c r="H31" s="27">
        <v>6.3009999999999997E-2</v>
      </c>
      <c r="I31" s="1" t="s">
        <v>417</v>
      </c>
      <c r="J31" s="1" t="s">
        <v>4</v>
      </c>
      <c r="K31" s="38" t="s">
        <v>382</v>
      </c>
      <c r="L31" s="64" t="s">
        <v>587</v>
      </c>
      <c r="M31" s="1" t="s">
        <v>50</v>
      </c>
      <c r="N31" s="126" t="s">
        <v>143</v>
      </c>
      <c r="O31" s="1" t="s">
        <v>349</v>
      </c>
      <c r="P31" s="1" t="s">
        <v>182</v>
      </c>
      <c r="Q31" s="1" t="s">
        <v>617</v>
      </c>
      <c r="R31" s="1" t="s">
        <v>618</v>
      </c>
      <c r="S31" s="1" t="s">
        <v>582</v>
      </c>
      <c r="T31" s="1" t="s">
        <v>582</v>
      </c>
    </row>
    <row r="32" spans="1:20" x14ac:dyDescent="0.25">
      <c r="A32" s="4" t="str">
        <f t="shared" si="0"/>
        <v>14ALM SHT</v>
      </c>
      <c r="B32" s="61"/>
      <c r="C32" s="62"/>
      <c r="D32" s="7" t="s">
        <v>541</v>
      </c>
      <c r="E32" s="7" t="s">
        <v>496</v>
      </c>
      <c r="F32" s="1" t="s">
        <v>350</v>
      </c>
      <c r="G32" s="30">
        <v>0.08</v>
      </c>
      <c r="H32" s="27">
        <v>8.0009999999999998E-2</v>
      </c>
      <c r="I32" s="1" t="s">
        <v>417</v>
      </c>
      <c r="J32" s="1" t="s">
        <v>4</v>
      </c>
      <c r="K32" s="38" t="s">
        <v>236</v>
      </c>
      <c r="L32" s="64" t="s">
        <v>498</v>
      </c>
      <c r="M32" s="1" t="s">
        <v>50</v>
      </c>
      <c r="N32" s="126" t="s">
        <v>143</v>
      </c>
      <c r="O32" s="1" t="s">
        <v>349</v>
      </c>
      <c r="P32" s="1" t="s">
        <v>182</v>
      </c>
      <c r="Q32" s="1" t="s">
        <v>617</v>
      </c>
      <c r="R32" s="1" t="s">
        <v>460</v>
      </c>
      <c r="S32" s="1" t="s">
        <v>582</v>
      </c>
      <c r="T32" s="1" t="s">
        <v>582</v>
      </c>
    </row>
    <row r="33" spans="1:20" x14ac:dyDescent="0.25">
      <c r="A33" s="68" t="str">
        <f t="shared" si="0"/>
        <v>12ALM SHT</v>
      </c>
      <c r="B33" s="101"/>
      <c r="C33" s="122"/>
      <c r="D33" s="42" t="s">
        <v>541</v>
      </c>
      <c r="E33" s="42" t="s">
        <v>188</v>
      </c>
      <c r="F33" s="5" t="s">
        <v>221</v>
      </c>
      <c r="G33" s="87">
        <v>0.09</v>
      </c>
      <c r="H33" s="97">
        <v>9.0010000000000007E-2</v>
      </c>
      <c r="I33" s="5" t="s">
        <v>417</v>
      </c>
      <c r="J33" s="5" t="s">
        <v>4</v>
      </c>
      <c r="K33" s="160" t="s">
        <v>84</v>
      </c>
      <c r="L33" s="188" t="s">
        <v>121</v>
      </c>
      <c r="M33" s="5" t="s">
        <v>50</v>
      </c>
      <c r="N33" s="72" t="s">
        <v>143</v>
      </c>
      <c r="O33" s="5" t="s">
        <v>349</v>
      </c>
      <c r="P33" s="5" t="s">
        <v>182</v>
      </c>
      <c r="Q33" s="5" t="s">
        <v>617</v>
      </c>
      <c r="R33" s="5" t="s">
        <v>170</v>
      </c>
      <c r="S33" s="5" t="s">
        <v>582</v>
      </c>
      <c r="T33" s="5" t="s">
        <v>582</v>
      </c>
    </row>
    <row r="34" spans="1:20" x14ac:dyDescent="0.25">
      <c r="A34" s="4" t="str">
        <f t="shared" si="0"/>
        <v>10ALM SHT</v>
      </c>
      <c r="B34" s="61"/>
      <c r="C34" s="62"/>
      <c r="D34" s="7" t="s">
        <v>541</v>
      </c>
      <c r="E34" s="7" t="s">
        <v>494</v>
      </c>
      <c r="F34" s="1" t="s">
        <v>484</v>
      </c>
      <c r="G34" s="30">
        <v>0.125</v>
      </c>
      <c r="H34" s="27">
        <v>0.12501000000000001</v>
      </c>
      <c r="I34" s="1" t="s">
        <v>417</v>
      </c>
      <c r="J34" s="1" t="s">
        <v>4</v>
      </c>
      <c r="K34" s="38" t="s">
        <v>351</v>
      </c>
      <c r="L34" s="64" t="s">
        <v>51</v>
      </c>
      <c r="M34" s="1" t="s">
        <v>50</v>
      </c>
      <c r="N34" s="126" t="s">
        <v>143</v>
      </c>
      <c r="O34" s="1" t="s">
        <v>349</v>
      </c>
      <c r="P34" s="1" t="s">
        <v>182</v>
      </c>
      <c r="Q34" s="1" t="s">
        <v>617</v>
      </c>
      <c r="R34" s="1" t="s">
        <v>278</v>
      </c>
      <c r="S34" s="1" t="s">
        <v>582</v>
      </c>
      <c r="T34" s="1" t="s">
        <v>582</v>
      </c>
    </row>
    <row r="35" spans="1:20" x14ac:dyDescent="0.25">
      <c r="A35" s="4" t="str">
        <f t="shared" si="0"/>
        <v>8ALM SHT</v>
      </c>
      <c r="B35" s="61"/>
      <c r="C35" s="62"/>
      <c r="D35" s="7" t="s">
        <v>541</v>
      </c>
      <c r="E35" s="7" t="s">
        <v>311</v>
      </c>
      <c r="F35" s="1" t="s">
        <v>499</v>
      </c>
      <c r="G35" s="30">
        <v>0.19</v>
      </c>
      <c r="H35" s="27">
        <v>0.19001000000000001</v>
      </c>
      <c r="I35" s="1" t="s">
        <v>417</v>
      </c>
      <c r="J35" s="1" t="s">
        <v>4</v>
      </c>
      <c r="K35" s="38" t="s">
        <v>383</v>
      </c>
      <c r="L35" s="64" t="s">
        <v>588</v>
      </c>
      <c r="M35" s="1" t="s">
        <v>50</v>
      </c>
      <c r="N35" s="126" t="s">
        <v>143</v>
      </c>
      <c r="O35" s="1" t="s">
        <v>349</v>
      </c>
      <c r="P35" s="1" t="s">
        <v>182</v>
      </c>
      <c r="Q35" s="1" t="s">
        <v>617</v>
      </c>
      <c r="R35" s="1" t="s">
        <v>101</v>
      </c>
      <c r="S35" s="1" t="s">
        <v>582</v>
      </c>
      <c r="T35" s="1" t="s">
        <v>582</v>
      </c>
    </row>
    <row r="36" spans="1:20" x14ac:dyDescent="0.25">
      <c r="A36" s="4" t="str">
        <f t="shared" si="0"/>
        <v>8SST304</v>
      </c>
      <c r="B36" s="61"/>
      <c r="C36" s="62"/>
      <c r="D36" s="7" t="s">
        <v>589</v>
      </c>
      <c r="E36" s="7" t="s">
        <v>311</v>
      </c>
      <c r="F36" s="1" t="s">
        <v>500</v>
      </c>
      <c r="G36" s="30">
        <v>0.16500000000000001</v>
      </c>
      <c r="H36" s="27">
        <v>0.16500999999999999</v>
      </c>
      <c r="I36" s="1" t="s">
        <v>582</v>
      </c>
      <c r="J36" s="1" t="s">
        <v>582</v>
      </c>
      <c r="K36" s="4" t="s">
        <v>52</v>
      </c>
      <c r="L36" s="7" t="s">
        <v>352</v>
      </c>
      <c r="M36" s="1" t="s">
        <v>501</v>
      </c>
      <c r="N36" s="91" t="s">
        <v>422</v>
      </c>
      <c r="O36" s="1" t="s">
        <v>41</v>
      </c>
      <c r="P36" s="1" t="s">
        <v>182</v>
      </c>
      <c r="Q36" s="1" t="s">
        <v>543</v>
      </c>
      <c r="R36" s="4" t="s">
        <v>237</v>
      </c>
      <c r="S36" s="4" t="s">
        <v>582</v>
      </c>
      <c r="T36" s="4" t="s">
        <v>582</v>
      </c>
    </row>
    <row r="37" spans="1:20" x14ac:dyDescent="0.25">
      <c r="A37" s="4" t="str">
        <f t="shared" si="0"/>
        <v>10SST304</v>
      </c>
      <c r="B37" s="61"/>
      <c r="C37" s="62"/>
      <c r="D37" s="14" t="s">
        <v>589</v>
      </c>
      <c r="E37" s="7" t="s">
        <v>494</v>
      </c>
      <c r="F37" s="1" t="s">
        <v>353</v>
      </c>
      <c r="G37" s="30">
        <v>0.13500000000000001</v>
      </c>
      <c r="H37" s="27">
        <v>0.13500999999999999</v>
      </c>
      <c r="I37" s="1" t="s">
        <v>415</v>
      </c>
      <c r="J37" s="1" t="s">
        <v>4</v>
      </c>
      <c r="K37" s="4" t="s">
        <v>502</v>
      </c>
      <c r="L37" s="7" t="s">
        <v>352</v>
      </c>
      <c r="M37" s="1" t="s">
        <v>501</v>
      </c>
      <c r="N37" s="91" t="s">
        <v>422</v>
      </c>
      <c r="O37" s="1" t="s">
        <v>41</v>
      </c>
      <c r="P37" s="1" t="s">
        <v>182</v>
      </c>
      <c r="Q37" s="1" t="s">
        <v>543</v>
      </c>
      <c r="R37" s="4" t="s">
        <v>544</v>
      </c>
      <c r="S37" s="4" t="s">
        <v>582</v>
      </c>
      <c r="T37" s="4" t="s">
        <v>582</v>
      </c>
    </row>
    <row r="38" spans="1:20" x14ac:dyDescent="0.25">
      <c r="A38" s="4" t="str">
        <f t="shared" si="0"/>
        <v>12SST304</v>
      </c>
      <c r="B38" s="61"/>
      <c r="C38" s="62"/>
      <c r="D38" s="14" t="s">
        <v>589</v>
      </c>
      <c r="E38" s="7" t="s">
        <v>188</v>
      </c>
      <c r="F38" s="1" t="s">
        <v>145</v>
      </c>
      <c r="G38" s="30">
        <v>0.105</v>
      </c>
      <c r="H38" s="27">
        <v>0.10501000000000001</v>
      </c>
      <c r="I38" s="1" t="s">
        <v>415</v>
      </c>
      <c r="J38" s="1" t="s">
        <v>4</v>
      </c>
      <c r="K38" s="4" t="s">
        <v>192</v>
      </c>
      <c r="L38" s="7" t="s">
        <v>352</v>
      </c>
      <c r="M38" s="1" t="s">
        <v>501</v>
      </c>
      <c r="N38" s="91" t="s">
        <v>422</v>
      </c>
      <c r="O38" s="1" t="s">
        <v>535</v>
      </c>
      <c r="P38" s="1" t="s">
        <v>182</v>
      </c>
      <c r="Q38" s="1" t="s">
        <v>543</v>
      </c>
      <c r="R38" s="4" t="s">
        <v>238</v>
      </c>
      <c r="S38" s="4" t="s">
        <v>582</v>
      </c>
      <c r="T38" s="4" t="s">
        <v>582</v>
      </c>
    </row>
    <row r="39" spans="1:20" x14ac:dyDescent="0.25">
      <c r="A39" s="4" t="str">
        <f t="shared" si="0"/>
        <v>14SST304</v>
      </c>
      <c r="B39" s="61"/>
      <c r="C39" s="62"/>
      <c r="D39" s="14" t="s">
        <v>589</v>
      </c>
      <c r="E39" s="7">
        <v>14</v>
      </c>
      <c r="F39" s="1" t="s">
        <v>53</v>
      </c>
      <c r="G39" s="30">
        <v>7.4999999999999997E-2</v>
      </c>
      <c r="H39" s="27">
        <v>7.5009999999999993E-2</v>
      </c>
      <c r="I39" s="1" t="s">
        <v>415</v>
      </c>
      <c r="J39" s="1" t="s">
        <v>4</v>
      </c>
      <c r="K39" s="4" t="s">
        <v>545</v>
      </c>
      <c r="L39" s="7" t="s">
        <v>352</v>
      </c>
      <c r="M39" s="1" t="s">
        <v>501</v>
      </c>
      <c r="N39" s="91" t="s">
        <v>422</v>
      </c>
      <c r="O39" s="1" t="s">
        <v>535</v>
      </c>
      <c r="P39" s="1" t="s">
        <v>182</v>
      </c>
      <c r="Q39" s="1" t="s">
        <v>543</v>
      </c>
      <c r="R39" s="4" t="s">
        <v>590</v>
      </c>
      <c r="S39" s="4" t="s">
        <v>582</v>
      </c>
      <c r="T39" s="4" t="s">
        <v>582</v>
      </c>
    </row>
    <row r="40" spans="1:20" x14ac:dyDescent="0.25">
      <c r="A40" s="4" t="str">
        <f t="shared" si="0"/>
        <v>16SST304</v>
      </c>
      <c r="B40" s="61"/>
      <c r="C40" s="62"/>
      <c r="D40" s="14" t="s">
        <v>589</v>
      </c>
      <c r="E40" s="7">
        <v>16</v>
      </c>
      <c r="F40" s="1" t="s">
        <v>13</v>
      </c>
      <c r="G40" s="30">
        <v>0.06</v>
      </c>
      <c r="H40" s="27">
        <v>6.0010000000000001E-2</v>
      </c>
      <c r="I40" s="1" t="s">
        <v>415</v>
      </c>
      <c r="J40" s="1" t="s">
        <v>4</v>
      </c>
      <c r="K40" s="4" t="s">
        <v>239</v>
      </c>
      <c r="L40" s="7" t="s">
        <v>352</v>
      </c>
      <c r="M40" s="1" t="s">
        <v>501</v>
      </c>
      <c r="N40" s="91" t="s">
        <v>422</v>
      </c>
      <c r="O40" s="1" t="s">
        <v>535</v>
      </c>
      <c r="P40" s="1" t="s">
        <v>182</v>
      </c>
      <c r="Q40" s="1" t="s">
        <v>543</v>
      </c>
      <c r="R40" s="4" t="s">
        <v>384</v>
      </c>
      <c r="S40" s="4" t="s">
        <v>582</v>
      </c>
      <c r="T40" s="4" t="s">
        <v>582</v>
      </c>
    </row>
    <row r="41" spans="1:20" x14ac:dyDescent="0.25">
      <c r="A41" s="4" t="str">
        <f t="shared" si="0"/>
        <v>18SST304</v>
      </c>
      <c r="B41" s="61"/>
      <c r="C41" s="62"/>
      <c r="D41" s="14" t="s">
        <v>589</v>
      </c>
      <c r="E41" s="7">
        <v>18</v>
      </c>
      <c r="F41" s="1" t="s">
        <v>354</v>
      </c>
      <c r="G41" s="30">
        <v>4.8000000000000001E-2</v>
      </c>
      <c r="H41" s="27">
        <v>4.8009999999999997E-2</v>
      </c>
      <c r="I41" s="1" t="s">
        <v>415</v>
      </c>
      <c r="J41" s="1" t="s">
        <v>4</v>
      </c>
      <c r="K41" s="4" t="s">
        <v>546</v>
      </c>
      <c r="L41" s="7" t="s">
        <v>352</v>
      </c>
      <c r="M41" s="1" t="s">
        <v>501</v>
      </c>
      <c r="N41" s="91" t="s">
        <v>422</v>
      </c>
      <c r="O41" s="1" t="s">
        <v>535</v>
      </c>
      <c r="P41" s="1" t="s">
        <v>182</v>
      </c>
      <c r="Q41" s="1" t="s">
        <v>543</v>
      </c>
      <c r="R41" s="4" t="s">
        <v>423</v>
      </c>
      <c r="S41" s="4" t="s">
        <v>582</v>
      </c>
      <c r="T41" s="4" t="s">
        <v>582</v>
      </c>
    </row>
    <row r="42" spans="1:20" x14ac:dyDescent="0.25">
      <c r="A42" s="4" t="str">
        <f t="shared" si="0"/>
        <v>20SST304</v>
      </c>
      <c r="B42" s="61"/>
      <c r="C42" s="62"/>
      <c r="D42" s="14" t="s">
        <v>589</v>
      </c>
      <c r="E42" s="7">
        <v>20</v>
      </c>
      <c r="F42" s="1" t="s">
        <v>14</v>
      </c>
      <c r="G42" s="30">
        <v>3.5000000000000003E-2</v>
      </c>
      <c r="H42" s="27">
        <v>3.5009999999999999E-2</v>
      </c>
      <c r="I42" s="1" t="s">
        <v>415</v>
      </c>
      <c r="J42" s="1" t="s">
        <v>4</v>
      </c>
      <c r="K42" s="4" t="s">
        <v>355</v>
      </c>
      <c r="L42" s="7" t="s">
        <v>352</v>
      </c>
      <c r="M42" s="1" t="s">
        <v>501</v>
      </c>
      <c r="N42" s="91" t="s">
        <v>422</v>
      </c>
      <c r="O42" s="1" t="s">
        <v>535</v>
      </c>
      <c r="P42" s="1" t="s">
        <v>182</v>
      </c>
      <c r="Q42" s="1" t="s">
        <v>543</v>
      </c>
      <c r="R42" s="4" t="s">
        <v>591</v>
      </c>
      <c r="S42" s="4" t="s">
        <v>582</v>
      </c>
      <c r="T42" s="4" t="s">
        <v>582</v>
      </c>
    </row>
    <row r="43" spans="1:20" x14ac:dyDescent="0.25">
      <c r="A43" s="4" t="str">
        <f t="shared" si="0"/>
        <v>22SST304</v>
      </c>
      <c r="B43" s="61"/>
      <c r="C43" s="62"/>
      <c r="D43" s="14" t="s">
        <v>589</v>
      </c>
      <c r="E43" s="7" t="s">
        <v>6</v>
      </c>
      <c r="F43" s="1" t="s">
        <v>193</v>
      </c>
      <c r="G43" s="30">
        <v>2.9000000000000001E-2</v>
      </c>
      <c r="H43" s="27">
        <v>2.9010000000000001E-2</v>
      </c>
      <c r="I43" s="1" t="s">
        <v>417</v>
      </c>
      <c r="J43" s="1" t="s">
        <v>4</v>
      </c>
      <c r="K43" s="4" t="s">
        <v>54</v>
      </c>
      <c r="L43" s="7" t="s">
        <v>352</v>
      </c>
      <c r="M43" s="1" t="s">
        <v>501</v>
      </c>
      <c r="N43" s="91" t="s">
        <v>422</v>
      </c>
      <c r="O43" s="1" t="s">
        <v>535</v>
      </c>
      <c r="P43" s="1" t="s">
        <v>182</v>
      </c>
      <c r="Q43" s="1" t="s">
        <v>543</v>
      </c>
      <c r="R43" s="4" t="s">
        <v>279</v>
      </c>
      <c r="S43" s="4" t="s">
        <v>582</v>
      </c>
      <c r="T43" s="4" t="s">
        <v>582</v>
      </c>
    </row>
    <row r="44" spans="1:20" x14ac:dyDescent="0.25">
      <c r="A44" s="4" t="str">
        <f t="shared" si="0"/>
        <v>24SST304</v>
      </c>
      <c r="B44" s="61"/>
      <c r="C44" s="62"/>
      <c r="D44" s="14" t="s">
        <v>589</v>
      </c>
      <c r="E44" s="7" t="s">
        <v>343</v>
      </c>
      <c r="F44" s="1" t="s">
        <v>15</v>
      </c>
      <c r="G44" s="30">
        <v>2.4E-2</v>
      </c>
      <c r="H44" s="27">
        <v>2.401E-2</v>
      </c>
      <c r="I44" s="1" t="s">
        <v>582</v>
      </c>
      <c r="J44" s="1" t="s">
        <v>582</v>
      </c>
      <c r="K44" s="4" t="s">
        <v>385</v>
      </c>
      <c r="L44" s="7" t="s">
        <v>352</v>
      </c>
      <c r="M44" s="1" t="s">
        <v>501</v>
      </c>
      <c r="N44" s="91" t="s">
        <v>422</v>
      </c>
      <c r="O44" s="1" t="s">
        <v>535</v>
      </c>
      <c r="P44" s="1" t="s">
        <v>182</v>
      </c>
      <c r="Q44" s="1" t="s">
        <v>543</v>
      </c>
      <c r="R44" s="4" t="s">
        <v>424</v>
      </c>
      <c r="S44" s="4" t="s">
        <v>582</v>
      </c>
      <c r="T44" s="4" t="s">
        <v>582</v>
      </c>
    </row>
    <row r="45" spans="1:20" x14ac:dyDescent="0.25">
      <c r="A45" s="4" t="str">
        <f t="shared" si="0"/>
        <v>12SST304L</v>
      </c>
      <c r="B45" s="61"/>
      <c r="C45" s="62"/>
      <c r="D45" s="14" t="s">
        <v>589</v>
      </c>
      <c r="E45" s="7" t="s">
        <v>188</v>
      </c>
      <c r="F45" s="1" t="s">
        <v>145</v>
      </c>
      <c r="G45" s="30">
        <v>0.105</v>
      </c>
      <c r="H45" s="27">
        <v>0.10502</v>
      </c>
      <c r="I45" s="1" t="s">
        <v>417</v>
      </c>
      <c r="J45" s="1" t="s">
        <v>4</v>
      </c>
      <c r="K45" s="1" t="s">
        <v>16</v>
      </c>
      <c r="L45" s="7" t="s">
        <v>386</v>
      </c>
      <c r="M45" s="1" t="s">
        <v>240</v>
      </c>
      <c r="N45" s="91" t="s">
        <v>422</v>
      </c>
      <c r="O45" s="1" t="s">
        <v>535</v>
      </c>
      <c r="P45" s="1" t="s">
        <v>182</v>
      </c>
      <c r="Q45" s="1" t="s">
        <v>619</v>
      </c>
      <c r="R45" s="4" t="s">
        <v>592</v>
      </c>
      <c r="S45" s="4" t="s">
        <v>582</v>
      </c>
      <c r="T45" s="4" t="s">
        <v>582</v>
      </c>
    </row>
    <row r="46" spans="1:20" x14ac:dyDescent="0.25">
      <c r="A46" s="4" t="str">
        <f t="shared" si="0"/>
        <v>16SST304L</v>
      </c>
      <c r="B46" s="61"/>
      <c r="C46" s="62"/>
      <c r="D46" s="14" t="s">
        <v>589</v>
      </c>
      <c r="E46" s="7" t="s">
        <v>191</v>
      </c>
      <c r="F46" s="1" t="s">
        <v>13</v>
      </c>
      <c r="G46" s="30">
        <v>0.06</v>
      </c>
      <c r="H46" s="27">
        <v>6.0019999999999997E-2</v>
      </c>
      <c r="I46" s="1" t="s">
        <v>417</v>
      </c>
      <c r="J46" s="1" t="s">
        <v>4</v>
      </c>
      <c r="K46" s="1" t="s">
        <v>55</v>
      </c>
      <c r="L46" s="7" t="s">
        <v>241</v>
      </c>
      <c r="M46" s="1" t="s">
        <v>240</v>
      </c>
      <c r="N46" s="91" t="s">
        <v>422</v>
      </c>
      <c r="O46" s="1" t="s">
        <v>535</v>
      </c>
      <c r="P46" s="1" t="s">
        <v>182</v>
      </c>
      <c r="Q46" s="1" t="s">
        <v>619</v>
      </c>
      <c r="R46" s="4" t="s">
        <v>102</v>
      </c>
      <c r="S46" s="4" t="s">
        <v>582</v>
      </c>
      <c r="T46" s="4" t="s">
        <v>582</v>
      </c>
    </row>
    <row r="47" spans="1:20" x14ac:dyDescent="0.25">
      <c r="A47" s="4" t="str">
        <f t="shared" si="0"/>
        <v>10SST316L</v>
      </c>
      <c r="B47" s="56"/>
      <c r="C47" s="54"/>
      <c r="D47" s="14" t="s">
        <v>589</v>
      </c>
      <c r="E47" s="7" t="s">
        <v>494</v>
      </c>
      <c r="F47" s="1" t="s">
        <v>353</v>
      </c>
      <c r="G47" s="30">
        <v>0.13500000000000001</v>
      </c>
      <c r="H47" s="27">
        <v>0.13502</v>
      </c>
      <c r="I47" s="1" t="s">
        <v>417</v>
      </c>
      <c r="J47" s="1" t="s">
        <v>4</v>
      </c>
      <c r="K47" s="38" t="s">
        <v>312</v>
      </c>
      <c r="L47" s="115" t="s">
        <v>356</v>
      </c>
      <c r="M47" s="1" t="s">
        <v>242</v>
      </c>
      <c r="N47" s="91" t="s">
        <v>422</v>
      </c>
      <c r="O47" s="1" t="s">
        <v>535</v>
      </c>
      <c r="P47" s="1" t="s">
        <v>182</v>
      </c>
      <c r="Q47" s="1" t="s">
        <v>620</v>
      </c>
      <c r="R47" s="4" t="s">
        <v>146</v>
      </c>
      <c r="S47" s="4" t="s">
        <v>582</v>
      </c>
      <c r="T47" s="4" t="s">
        <v>582</v>
      </c>
    </row>
    <row r="48" spans="1:20" x14ac:dyDescent="0.25">
      <c r="A48" s="4" t="str">
        <f t="shared" si="0"/>
        <v>12SST316L</v>
      </c>
      <c r="B48" s="56"/>
      <c r="C48" s="54"/>
      <c r="D48" s="7" t="s">
        <v>589</v>
      </c>
      <c r="E48" s="7" t="s">
        <v>188</v>
      </c>
      <c r="F48" s="1" t="s">
        <v>145</v>
      </c>
      <c r="G48" s="30">
        <v>0.105</v>
      </c>
      <c r="H48" s="27">
        <v>0.10503</v>
      </c>
      <c r="I48" s="1" t="s">
        <v>417</v>
      </c>
      <c r="J48" s="1" t="s">
        <v>4</v>
      </c>
      <c r="K48" s="38" t="s">
        <v>621</v>
      </c>
      <c r="L48" s="115" t="s">
        <v>280</v>
      </c>
      <c r="M48" s="1" t="s">
        <v>242</v>
      </c>
      <c r="N48" s="91" t="s">
        <v>422</v>
      </c>
      <c r="O48" s="1" t="s">
        <v>535</v>
      </c>
      <c r="P48" s="1" t="s">
        <v>182</v>
      </c>
      <c r="Q48" s="1" t="s">
        <v>620</v>
      </c>
      <c r="R48" s="4" t="s">
        <v>461</v>
      </c>
      <c r="S48" s="4" t="s">
        <v>582</v>
      </c>
      <c r="T48" s="4" t="s">
        <v>582</v>
      </c>
    </row>
    <row r="49" spans="1:20" x14ac:dyDescent="0.25">
      <c r="A49" s="4" t="str">
        <f t="shared" si="0"/>
        <v>14SST316L</v>
      </c>
      <c r="B49" s="56"/>
      <c r="C49" s="54"/>
      <c r="D49" s="7" t="s">
        <v>589</v>
      </c>
      <c r="E49" s="7" t="s">
        <v>496</v>
      </c>
      <c r="F49" s="1" t="s">
        <v>53</v>
      </c>
      <c r="G49" s="30">
        <v>7.4999999999999997E-2</v>
      </c>
      <c r="H49" s="27">
        <v>7.5020000000000003E-2</v>
      </c>
      <c r="I49" s="1" t="s">
        <v>417</v>
      </c>
      <c r="J49" s="1" t="s">
        <v>4</v>
      </c>
      <c r="K49" s="38" t="s">
        <v>313</v>
      </c>
      <c r="L49" s="115" t="s">
        <v>194</v>
      </c>
      <c r="M49" s="1" t="s">
        <v>242</v>
      </c>
      <c r="N49" s="91" t="s">
        <v>422</v>
      </c>
      <c r="O49" s="1" t="s">
        <v>535</v>
      </c>
      <c r="P49" s="1" t="s">
        <v>182</v>
      </c>
      <c r="Q49" s="1" t="s">
        <v>620</v>
      </c>
      <c r="R49" s="4" t="s">
        <v>195</v>
      </c>
      <c r="S49" s="4" t="s">
        <v>582</v>
      </c>
      <c r="T49" s="4" t="s">
        <v>582</v>
      </c>
    </row>
    <row r="50" spans="1:20" x14ac:dyDescent="0.25">
      <c r="A50" s="4" t="str">
        <f t="shared" si="0"/>
        <v>16SST316L</v>
      </c>
      <c r="B50" s="56"/>
      <c r="C50" s="54"/>
      <c r="D50" s="14" t="s">
        <v>589</v>
      </c>
      <c r="E50" s="7" t="s">
        <v>191</v>
      </c>
      <c r="F50" s="1" t="s">
        <v>13</v>
      </c>
      <c r="G50" s="30">
        <v>0.06</v>
      </c>
      <c r="H50" s="27">
        <v>6.003E-2</v>
      </c>
      <c r="I50" s="1" t="s">
        <v>415</v>
      </c>
      <c r="J50" s="1" t="s">
        <v>4</v>
      </c>
      <c r="K50" s="1" t="s">
        <v>622</v>
      </c>
      <c r="L50" s="7" t="s">
        <v>593</v>
      </c>
      <c r="M50" s="1" t="s">
        <v>242</v>
      </c>
      <c r="N50" s="91" t="s">
        <v>422</v>
      </c>
      <c r="O50" s="1" t="s">
        <v>535</v>
      </c>
      <c r="P50" s="1" t="s">
        <v>182</v>
      </c>
      <c r="Q50" s="1" t="s">
        <v>620</v>
      </c>
      <c r="R50" s="4" t="s">
        <v>623</v>
      </c>
      <c r="S50" s="4" t="s">
        <v>582</v>
      </c>
      <c r="T50" s="4" t="s">
        <v>582</v>
      </c>
    </row>
    <row r="51" spans="1:20" x14ac:dyDescent="0.25">
      <c r="A51" s="4" t="str">
        <f t="shared" si="0"/>
        <v>18SST316L</v>
      </c>
      <c r="B51" s="56"/>
      <c r="C51" s="54"/>
      <c r="D51" s="14" t="s">
        <v>589</v>
      </c>
      <c r="E51" s="7" t="s">
        <v>542</v>
      </c>
      <c r="F51" s="1" t="s">
        <v>354</v>
      </c>
      <c r="G51" s="30">
        <v>4.8000000000000001E-2</v>
      </c>
      <c r="H51" s="27">
        <v>4.802E-2</v>
      </c>
      <c r="I51" s="1" t="s">
        <v>415</v>
      </c>
      <c r="J51" s="1" t="s">
        <v>4</v>
      </c>
      <c r="K51" s="4" t="s">
        <v>357</v>
      </c>
      <c r="L51" s="7" t="s">
        <v>594</v>
      </c>
      <c r="M51" s="1" t="s">
        <v>242</v>
      </c>
      <c r="N51" s="91" t="s">
        <v>422</v>
      </c>
      <c r="O51" s="1" t="s">
        <v>535</v>
      </c>
      <c r="P51" s="1" t="s">
        <v>182</v>
      </c>
      <c r="Q51" s="1" t="s">
        <v>620</v>
      </c>
      <c r="R51" s="4" t="s">
        <v>17</v>
      </c>
      <c r="S51" s="4" t="s">
        <v>582</v>
      </c>
      <c r="T51" s="4" t="s">
        <v>582</v>
      </c>
    </row>
    <row r="52" spans="1:20" x14ac:dyDescent="0.25">
      <c r="A52" s="148" t="str">
        <f t="shared" si="0"/>
        <v>20SST316L</v>
      </c>
      <c r="B52" s="56"/>
      <c r="C52" s="54"/>
      <c r="D52" s="14" t="s">
        <v>589</v>
      </c>
      <c r="E52" s="7" t="s">
        <v>347</v>
      </c>
      <c r="F52" s="1" t="s">
        <v>14</v>
      </c>
      <c r="G52" s="30">
        <v>3.5000000000000003E-2</v>
      </c>
      <c r="H52" s="27">
        <v>3.5020000000000003E-2</v>
      </c>
      <c r="I52" s="1" t="s">
        <v>415</v>
      </c>
      <c r="J52" s="1" t="s">
        <v>4</v>
      </c>
      <c r="K52" s="4" t="s">
        <v>147</v>
      </c>
      <c r="L52" s="7" t="s">
        <v>547</v>
      </c>
      <c r="M52" s="1" t="s">
        <v>242</v>
      </c>
      <c r="N52" s="91" t="s">
        <v>422</v>
      </c>
      <c r="O52" s="1" t="s">
        <v>535</v>
      </c>
      <c r="P52" s="1" t="s">
        <v>182</v>
      </c>
      <c r="Q52" s="1" t="s">
        <v>620</v>
      </c>
      <c r="R52" s="4" t="s">
        <v>196</v>
      </c>
      <c r="S52" s="4" t="s">
        <v>582</v>
      </c>
      <c r="T52" s="4" t="s">
        <v>582</v>
      </c>
    </row>
    <row r="53" spans="1:20" x14ac:dyDescent="0.25">
      <c r="A53" s="4" t="str">
        <f t="shared" si="0"/>
        <v>22SST316L</v>
      </c>
      <c r="B53" s="56"/>
      <c r="C53" s="150"/>
      <c r="D53" s="7" t="s">
        <v>589</v>
      </c>
      <c r="E53" s="7" t="s">
        <v>6</v>
      </c>
      <c r="F53" s="1" t="s">
        <v>193</v>
      </c>
      <c r="G53" s="30">
        <v>2.9000000000000001E-2</v>
      </c>
      <c r="H53" s="27">
        <v>2.9020000000000001E-2</v>
      </c>
      <c r="I53" s="1" t="s">
        <v>417</v>
      </c>
      <c r="J53" s="1" t="s">
        <v>4</v>
      </c>
      <c r="K53" s="38" t="s">
        <v>462</v>
      </c>
      <c r="L53" s="115" t="s">
        <v>243</v>
      </c>
      <c r="M53" s="1" t="s">
        <v>242</v>
      </c>
      <c r="N53" s="91" t="s">
        <v>422</v>
      </c>
      <c r="O53" s="1" t="s">
        <v>535</v>
      </c>
      <c r="P53" s="1" t="s">
        <v>182</v>
      </c>
      <c r="Q53" s="1" t="s">
        <v>620</v>
      </c>
      <c r="R53" s="4" t="s">
        <v>548</v>
      </c>
      <c r="S53" s="4" t="s">
        <v>582</v>
      </c>
      <c r="T53" s="4" t="s">
        <v>582</v>
      </c>
    </row>
    <row r="54" spans="1:20" ht="15.75" thickBot="1" x14ac:dyDescent="0.3">
      <c r="A54" s="104" t="str">
        <f t="shared" si="0"/>
        <v>20SST409</v>
      </c>
      <c r="B54" s="61"/>
      <c r="C54" s="62"/>
      <c r="D54" s="123" t="s">
        <v>589</v>
      </c>
      <c r="E54" s="123">
        <v>20</v>
      </c>
      <c r="F54" s="59" t="s">
        <v>14</v>
      </c>
      <c r="G54" s="185">
        <v>3.5000000000000003E-2</v>
      </c>
      <c r="H54" s="207">
        <v>3.5040000000000002E-2</v>
      </c>
      <c r="I54" s="136" t="s">
        <v>415</v>
      </c>
      <c r="J54" s="136" t="s">
        <v>417</v>
      </c>
      <c r="K54" s="161" t="s">
        <v>302</v>
      </c>
      <c r="L54" s="229" t="s">
        <v>265</v>
      </c>
      <c r="M54" s="59" t="s">
        <v>408</v>
      </c>
      <c r="N54" s="141" t="s">
        <v>417</v>
      </c>
      <c r="O54" s="59" t="s">
        <v>535</v>
      </c>
      <c r="P54" s="59" t="s">
        <v>182</v>
      </c>
      <c r="Q54" s="59" t="s">
        <v>447</v>
      </c>
      <c r="R54" s="60" t="s">
        <v>266</v>
      </c>
      <c r="S54" s="60" t="s">
        <v>582</v>
      </c>
      <c r="T54" s="60" t="s">
        <v>582</v>
      </c>
    </row>
    <row r="55" spans="1:20" ht="16.5" thickTop="1" thickBot="1" x14ac:dyDescent="0.3">
      <c r="A55" s="43" t="str">
        <f t="shared" si="0"/>
        <v/>
      </c>
      <c r="B55" s="56"/>
      <c r="C55" s="52"/>
      <c r="D55" s="9"/>
      <c r="E55" s="9"/>
      <c r="F55" s="9"/>
      <c r="G55" s="100"/>
      <c r="H55" s="9"/>
      <c r="I55" s="9"/>
      <c r="J55" s="9"/>
      <c r="K55" s="9"/>
      <c r="L55" s="9"/>
      <c r="M55" s="11"/>
      <c r="N55" s="11"/>
      <c r="O55" s="11"/>
      <c r="P55" s="11"/>
      <c r="Q55" s="11"/>
      <c r="R55" s="11"/>
      <c r="S55" s="11"/>
      <c r="T55" s="11"/>
    </row>
    <row r="56" spans="1:20" ht="17.25" thickTop="1" thickBot="1" x14ac:dyDescent="0.3">
      <c r="A56" s="55" t="str">
        <f t="shared" si="0"/>
        <v/>
      </c>
      <c r="B56" s="56"/>
      <c r="C56" s="247" t="s">
        <v>103</v>
      </c>
      <c r="D56" s="2"/>
      <c r="E56" s="2"/>
      <c r="F56" s="2"/>
      <c r="G56" s="66"/>
      <c r="H56" s="2"/>
      <c r="I56" s="2"/>
      <c r="J56" s="2"/>
      <c r="K56" s="2"/>
      <c r="L56" s="2"/>
      <c r="M56" s="6"/>
      <c r="N56" s="6"/>
      <c r="O56" s="6"/>
      <c r="P56" s="6"/>
      <c r="Q56" s="6"/>
      <c r="R56" s="6"/>
      <c r="S56" s="6"/>
      <c r="T56" s="6"/>
    </row>
    <row r="57" spans="1:20" ht="15.75" thickTop="1" x14ac:dyDescent="0.25">
      <c r="A57" s="28" t="str">
        <f t="shared" si="0"/>
        <v>10STRUCT GALV</v>
      </c>
      <c r="B57" s="56"/>
      <c r="C57" s="54"/>
      <c r="D57" s="35" t="s">
        <v>56</v>
      </c>
      <c r="E57" s="35" t="s">
        <v>494</v>
      </c>
      <c r="F57" s="8" t="s">
        <v>484</v>
      </c>
      <c r="G57" s="75">
        <v>0.126</v>
      </c>
      <c r="H57" s="86">
        <v>0.12601999999999999</v>
      </c>
      <c r="I57" s="8" t="s">
        <v>415</v>
      </c>
      <c r="J57" s="8" t="s">
        <v>417</v>
      </c>
      <c r="K57" s="28" t="s">
        <v>244</v>
      </c>
      <c r="L57" s="35" t="s">
        <v>104</v>
      </c>
      <c r="M57" s="8" t="s">
        <v>416</v>
      </c>
      <c r="N57" s="234" t="s">
        <v>425</v>
      </c>
      <c r="O57" s="8" t="s">
        <v>41</v>
      </c>
      <c r="P57" s="8" t="s">
        <v>182</v>
      </c>
      <c r="Q57" s="8" t="s">
        <v>314</v>
      </c>
      <c r="R57" s="28" t="s">
        <v>358</v>
      </c>
      <c r="S57" s="98" t="s">
        <v>582</v>
      </c>
      <c r="T57" s="98" t="s">
        <v>582</v>
      </c>
    </row>
    <row r="58" spans="1:20" x14ac:dyDescent="0.25">
      <c r="A58" s="4" t="str">
        <f t="shared" si="0"/>
        <v>12STRUCT GALV</v>
      </c>
      <c r="B58" s="56"/>
      <c r="C58" s="54"/>
      <c r="D58" s="7" t="s">
        <v>56</v>
      </c>
      <c r="E58" s="14" t="s">
        <v>188</v>
      </c>
      <c r="F58" s="3" t="s">
        <v>534</v>
      </c>
      <c r="G58" s="49">
        <v>9.7000000000000003E-2</v>
      </c>
      <c r="H58" s="44">
        <v>9.7019999999999995E-2</v>
      </c>
      <c r="I58" s="3" t="s">
        <v>415</v>
      </c>
      <c r="J58" s="1" t="s">
        <v>417</v>
      </c>
      <c r="K58" s="4" t="s">
        <v>549</v>
      </c>
      <c r="L58" s="7" t="s">
        <v>104</v>
      </c>
      <c r="M58" s="1" t="s">
        <v>416</v>
      </c>
      <c r="N58" s="124" t="s">
        <v>425</v>
      </c>
      <c r="O58" s="1" t="s">
        <v>535</v>
      </c>
      <c r="P58" s="1" t="s">
        <v>182</v>
      </c>
      <c r="Q58" s="1" t="s">
        <v>314</v>
      </c>
      <c r="R58" s="4" t="s">
        <v>550</v>
      </c>
      <c r="S58" s="4" t="s">
        <v>582</v>
      </c>
      <c r="T58" s="4" t="s">
        <v>582</v>
      </c>
    </row>
    <row r="59" spans="1:20" x14ac:dyDescent="0.25">
      <c r="A59" s="4" t="str">
        <f t="shared" si="0"/>
        <v>14STRUCT GALV</v>
      </c>
      <c r="B59" s="56"/>
      <c r="C59" s="54"/>
      <c r="D59" s="7" t="s">
        <v>56</v>
      </c>
      <c r="E59" s="7" t="s">
        <v>496</v>
      </c>
      <c r="F59" s="1" t="s">
        <v>230</v>
      </c>
      <c r="G59" s="30">
        <v>7.0000000000000007E-2</v>
      </c>
      <c r="H59" s="27">
        <v>7.0019999999999999E-2</v>
      </c>
      <c r="I59" s="1" t="s">
        <v>415</v>
      </c>
      <c r="J59" s="1" t="s">
        <v>417</v>
      </c>
      <c r="K59" s="4" t="s">
        <v>281</v>
      </c>
      <c r="L59" s="7" t="s">
        <v>104</v>
      </c>
      <c r="M59" s="1" t="s">
        <v>416</v>
      </c>
      <c r="N59" s="124" t="s">
        <v>425</v>
      </c>
      <c r="O59" s="1" t="s">
        <v>535</v>
      </c>
      <c r="P59" s="1" t="s">
        <v>182</v>
      </c>
      <c r="Q59" s="1" t="s">
        <v>314</v>
      </c>
      <c r="R59" s="4" t="s">
        <v>359</v>
      </c>
      <c r="S59" s="4" t="s">
        <v>582</v>
      </c>
      <c r="T59" s="4" t="s">
        <v>582</v>
      </c>
    </row>
    <row r="60" spans="1:20" ht="15.75" thickBot="1" x14ac:dyDescent="0.3">
      <c r="A60" s="104" t="str">
        <f t="shared" si="0"/>
        <v>10STL STRUCT HR</v>
      </c>
      <c r="B60" s="264"/>
      <c r="C60" s="198"/>
      <c r="D60" s="78" t="s">
        <v>334</v>
      </c>
      <c r="E60" s="78" t="s">
        <v>494</v>
      </c>
      <c r="F60" s="45" t="s">
        <v>187</v>
      </c>
      <c r="G60" s="154">
        <v>0.127</v>
      </c>
      <c r="H60" s="227">
        <v>0.12701999999999999</v>
      </c>
      <c r="I60" s="45" t="s">
        <v>417</v>
      </c>
      <c r="J60" s="45" t="s">
        <v>4</v>
      </c>
      <c r="K60" s="92" t="s">
        <v>574</v>
      </c>
      <c r="L60" s="78" t="s">
        <v>295</v>
      </c>
      <c r="M60" s="45" t="s">
        <v>616</v>
      </c>
      <c r="N60" s="194" t="s">
        <v>417</v>
      </c>
      <c r="O60" s="45" t="s">
        <v>222</v>
      </c>
      <c r="P60" s="45" t="s">
        <v>182</v>
      </c>
      <c r="Q60" s="45" t="s">
        <v>524</v>
      </c>
      <c r="R60" s="60" t="s">
        <v>267</v>
      </c>
      <c r="S60" s="92" t="s">
        <v>609</v>
      </c>
      <c r="T60" s="92" t="s">
        <v>582</v>
      </c>
    </row>
    <row r="61" spans="1:20" ht="16.5" thickTop="1" thickBot="1" x14ac:dyDescent="0.3">
      <c r="A61" s="43" t="str">
        <f t="shared" si="0"/>
        <v/>
      </c>
      <c r="B61" s="56"/>
      <c r="C61" s="52"/>
      <c r="D61" s="13"/>
      <c r="E61" s="13"/>
      <c r="F61" s="13"/>
      <c r="G61" s="251"/>
      <c r="H61" s="13"/>
      <c r="I61" s="13"/>
      <c r="J61" s="13"/>
      <c r="K61" s="13"/>
      <c r="L61" s="13"/>
      <c r="M61" s="23"/>
      <c r="N61" s="23"/>
      <c r="O61" s="23"/>
      <c r="P61" s="23"/>
      <c r="Q61" s="23"/>
      <c r="R61" s="23"/>
      <c r="S61" s="23"/>
      <c r="T61" s="211"/>
    </row>
    <row r="62" spans="1:20" ht="17.25" thickTop="1" thickBot="1" x14ac:dyDescent="0.3">
      <c r="A62" s="55" t="str">
        <f t="shared" si="0"/>
        <v/>
      </c>
      <c r="B62" s="56"/>
      <c r="C62" s="174" t="s">
        <v>503</v>
      </c>
      <c r="D62" s="2"/>
      <c r="E62" s="2"/>
      <c r="F62" s="2"/>
      <c r="G62" s="66"/>
      <c r="H62" s="2"/>
      <c r="I62" s="2"/>
      <c r="J62" s="2"/>
      <c r="K62" s="2"/>
      <c r="L62" s="2"/>
      <c r="M62" s="6"/>
      <c r="N62" s="6"/>
      <c r="O62" s="6"/>
      <c r="P62" s="6"/>
      <c r="Q62" s="6"/>
      <c r="R62" s="6"/>
      <c r="S62" s="6"/>
      <c r="T62" s="6"/>
    </row>
    <row r="63" spans="1:20" ht="15.75" thickTop="1" x14ac:dyDescent="0.25">
      <c r="A63" s="28" t="str">
        <f t="shared" si="0"/>
        <v>20GALV PRFA</v>
      </c>
      <c r="B63" s="56"/>
      <c r="C63" s="54"/>
      <c r="D63" s="35" t="s">
        <v>245</v>
      </c>
      <c r="E63" s="35">
        <v>20</v>
      </c>
      <c r="F63" s="8" t="s">
        <v>18</v>
      </c>
      <c r="G63" s="75">
        <v>3.9E-2</v>
      </c>
      <c r="H63" s="86">
        <v>3.9010000000000003E-2</v>
      </c>
      <c r="I63" s="8" t="s">
        <v>415</v>
      </c>
      <c r="J63" s="8" t="s">
        <v>417</v>
      </c>
      <c r="K63" s="8" t="s">
        <v>57</v>
      </c>
      <c r="L63" s="35" t="s">
        <v>595</v>
      </c>
      <c r="M63" s="8" t="s">
        <v>416</v>
      </c>
      <c r="N63" s="28" t="s">
        <v>426</v>
      </c>
      <c r="O63" s="8" t="s">
        <v>346</v>
      </c>
      <c r="P63" s="8" t="s">
        <v>182</v>
      </c>
      <c r="Q63" s="8" t="s">
        <v>58</v>
      </c>
      <c r="R63" s="28" t="s">
        <v>624</v>
      </c>
      <c r="S63" s="8" t="s">
        <v>504</v>
      </c>
      <c r="T63" s="8" t="s">
        <v>59</v>
      </c>
    </row>
    <row r="64" spans="1:20" x14ac:dyDescent="0.25">
      <c r="A64" s="4" t="str">
        <f t="shared" si="0"/>
        <v>20GALV PRFD</v>
      </c>
      <c r="B64" s="56"/>
      <c r="C64" s="54"/>
      <c r="D64" s="14" t="s">
        <v>245</v>
      </c>
      <c r="E64" s="14">
        <v>20</v>
      </c>
      <c r="F64" s="3" t="s">
        <v>18</v>
      </c>
      <c r="G64" s="49">
        <v>3.9E-2</v>
      </c>
      <c r="H64" s="44">
        <v>3.9019999999999999E-2</v>
      </c>
      <c r="I64" s="3" t="s">
        <v>415</v>
      </c>
      <c r="J64" s="1" t="s">
        <v>417</v>
      </c>
      <c r="K64" s="1" t="s">
        <v>463</v>
      </c>
      <c r="L64" s="7" t="s">
        <v>595</v>
      </c>
      <c r="M64" s="1" t="s">
        <v>416</v>
      </c>
      <c r="N64" s="4" t="s">
        <v>426</v>
      </c>
      <c r="O64" s="1" t="s">
        <v>346</v>
      </c>
      <c r="P64" s="1" t="s">
        <v>182</v>
      </c>
      <c r="Q64" s="3" t="s">
        <v>551</v>
      </c>
      <c r="R64" s="24" t="s">
        <v>505</v>
      </c>
      <c r="S64" s="1" t="s">
        <v>19</v>
      </c>
      <c r="T64" s="1" t="s">
        <v>59</v>
      </c>
    </row>
    <row r="65" spans="1:20" x14ac:dyDescent="0.25">
      <c r="A65" s="4" t="str">
        <f t="shared" si="0"/>
        <v>20GALV PRFE</v>
      </c>
      <c r="B65" s="56"/>
      <c r="C65" s="54"/>
      <c r="D65" s="14" t="s">
        <v>245</v>
      </c>
      <c r="E65" s="14" t="s">
        <v>347</v>
      </c>
      <c r="F65" s="73" t="s">
        <v>18</v>
      </c>
      <c r="G65" s="49">
        <v>3.9E-2</v>
      </c>
      <c r="H65" s="149">
        <v>3.9030000000000002E-2</v>
      </c>
      <c r="I65" s="3" t="s">
        <v>415</v>
      </c>
      <c r="J65" s="1" t="s">
        <v>417</v>
      </c>
      <c r="K65" s="1" t="s">
        <v>20</v>
      </c>
      <c r="L65" s="7" t="s">
        <v>595</v>
      </c>
      <c r="M65" s="1" t="s">
        <v>416</v>
      </c>
      <c r="N65" s="4" t="s">
        <v>426</v>
      </c>
      <c r="O65" s="1" t="s">
        <v>346</v>
      </c>
      <c r="P65" s="1" t="s">
        <v>182</v>
      </c>
      <c r="Q65" s="3" t="s">
        <v>60</v>
      </c>
      <c r="R65" s="24" t="s">
        <v>21</v>
      </c>
      <c r="S65" s="1" t="s">
        <v>61</v>
      </c>
      <c r="T65" s="1" t="s">
        <v>387</v>
      </c>
    </row>
    <row r="66" spans="1:20" x14ac:dyDescent="0.25">
      <c r="A66" s="4" t="str">
        <f t="shared" si="0"/>
        <v>16GALV PRFG</v>
      </c>
      <c r="B66" s="56"/>
      <c r="C66" s="54"/>
      <c r="D66" s="14" t="s">
        <v>245</v>
      </c>
      <c r="E66" s="14" t="s">
        <v>191</v>
      </c>
      <c r="F66" s="3" t="s">
        <v>340</v>
      </c>
      <c r="G66" s="49">
        <v>5.5E-2</v>
      </c>
      <c r="H66" s="44">
        <v>5.5010000000000003E-2</v>
      </c>
      <c r="I66" s="3" t="s">
        <v>417</v>
      </c>
      <c r="J66" s="1" t="s">
        <v>4</v>
      </c>
      <c r="K66" s="1" t="s">
        <v>464</v>
      </c>
      <c r="L66" s="7" t="s">
        <v>552</v>
      </c>
      <c r="M66" s="1" t="s">
        <v>416</v>
      </c>
      <c r="N66" s="4" t="s">
        <v>426</v>
      </c>
      <c r="O66" s="1" t="s">
        <v>315</v>
      </c>
      <c r="P66" s="1" t="s">
        <v>182</v>
      </c>
      <c r="Q66" s="3" t="s">
        <v>388</v>
      </c>
      <c r="R66" s="3" t="s">
        <v>625</v>
      </c>
      <c r="S66" s="1" t="s">
        <v>484</v>
      </c>
      <c r="T66" s="1" t="s">
        <v>62</v>
      </c>
    </row>
    <row r="67" spans="1:20" x14ac:dyDescent="0.25">
      <c r="A67" s="4" t="str">
        <f t="shared" si="0"/>
        <v>18GALV PRFG</v>
      </c>
      <c r="B67" s="56"/>
      <c r="C67" s="54"/>
      <c r="D67" s="14" t="s">
        <v>245</v>
      </c>
      <c r="E67" s="14" t="s">
        <v>542</v>
      </c>
      <c r="F67" s="3" t="s">
        <v>341</v>
      </c>
      <c r="G67" s="49">
        <v>4.3999999999999997E-2</v>
      </c>
      <c r="H67" s="44">
        <v>4.505E-2</v>
      </c>
      <c r="I67" s="3" t="s">
        <v>417</v>
      </c>
      <c r="J67" s="1" t="s">
        <v>4</v>
      </c>
      <c r="K67" s="1" t="s">
        <v>197</v>
      </c>
      <c r="L67" s="7" t="s">
        <v>465</v>
      </c>
      <c r="M67" s="1" t="s">
        <v>416</v>
      </c>
      <c r="N67" s="4" t="s">
        <v>426</v>
      </c>
      <c r="O67" s="1" t="s">
        <v>346</v>
      </c>
      <c r="P67" s="1" t="s">
        <v>182</v>
      </c>
      <c r="Q67" s="3" t="s">
        <v>388</v>
      </c>
      <c r="R67" s="3" t="s">
        <v>316</v>
      </c>
      <c r="S67" s="1" t="s">
        <v>484</v>
      </c>
      <c r="T67" s="1" t="s">
        <v>62</v>
      </c>
    </row>
    <row r="68" spans="1:20" x14ac:dyDescent="0.25">
      <c r="A68" s="4" t="str">
        <f t="shared" si="0"/>
        <v>20GALV PRFG</v>
      </c>
      <c r="B68" s="56"/>
      <c r="C68" s="54"/>
      <c r="D68" s="14" t="s">
        <v>245</v>
      </c>
      <c r="E68" s="14" t="s">
        <v>347</v>
      </c>
      <c r="F68" s="3" t="s">
        <v>342</v>
      </c>
      <c r="G68" s="49">
        <v>3.4000000000000002E-2</v>
      </c>
      <c r="H68" s="44">
        <v>3.4020000000000002E-2</v>
      </c>
      <c r="I68" s="3" t="s">
        <v>417</v>
      </c>
      <c r="J68" s="1" t="s">
        <v>4</v>
      </c>
      <c r="K68" s="1" t="s">
        <v>626</v>
      </c>
      <c r="L68" s="7" t="s">
        <v>148</v>
      </c>
      <c r="M68" s="1" t="s">
        <v>416</v>
      </c>
      <c r="N68" s="4" t="s">
        <v>426</v>
      </c>
      <c r="O68" s="1" t="s">
        <v>41</v>
      </c>
      <c r="P68" s="1" t="s">
        <v>182</v>
      </c>
      <c r="Q68" s="3" t="s">
        <v>388</v>
      </c>
      <c r="R68" s="3" t="s">
        <v>105</v>
      </c>
      <c r="S68" s="1" t="s">
        <v>484</v>
      </c>
      <c r="T68" s="1" t="s">
        <v>62</v>
      </c>
    </row>
    <row r="69" spans="1:20" x14ac:dyDescent="0.25">
      <c r="A69" s="4" t="str">
        <f t="shared" si="0"/>
        <v>22GALV PRFF</v>
      </c>
      <c r="B69" s="56"/>
      <c r="C69" s="54"/>
      <c r="D69" s="14" t="s">
        <v>245</v>
      </c>
      <c r="E69" s="263">
        <v>22</v>
      </c>
      <c r="F69" s="3" t="s">
        <v>7</v>
      </c>
      <c r="G69" s="49">
        <v>2.8000000000000001E-2</v>
      </c>
      <c r="H69" s="44">
        <v>2.802E-2</v>
      </c>
      <c r="I69" s="3" t="s">
        <v>415</v>
      </c>
      <c r="J69" s="1" t="s">
        <v>4</v>
      </c>
      <c r="K69" s="1" t="s">
        <v>317</v>
      </c>
      <c r="L69" s="7" t="s">
        <v>63</v>
      </c>
      <c r="M69" s="1" t="s">
        <v>416</v>
      </c>
      <c r="N69" s="4" t="s">
        <v>426</v>
      </c>
      <c r="O69" s="1" t="s">
        <v>535</v>
      </c>
      <c r="P69" s="1" t="s">
        <v>182</v>
      </c>
      <c r="Q69" s="3" t="s">
        <v>246</v>
      </c>
      <c r="R69" s="24" t="s">
        <v>466</v>
      </c>
      <c r="S69" s="1" t="s">
        <v>484</v>
      </c>
      <c r="T69" s="1" t="s">
        <v>62</v>
      </c>
    </row>
    <row r="70" spans="1:20" x14ac:dyDescent="0.25">
      <c r="A70" s="4" t="str">
        <f t="shared" si="0"/>
        <v>18GALV PRFH</v>
      </c>
      <c r="B70" s="56"/>
      <c r="C70" s="54"/>
      <c r="D70" s="14" t="s">
        <v>245</v>
      </c>
      <c r="E70" s="14" t="s">
        <v>542</v>
      </c>
      <c r="F70" s="3" t="s">
        <v>341</v>
      </c>
      <c r="G70" s="49">
        <v>4.3999999999999997E-2</v>
      </c>
      <c r="H70" s="44">
        <v>4.3999999999999997E-2</v>
      </c>
      <c r="I70" s="3" t="s">
        <v>417</v>
      </c>
      <c r="J70" s="1" t="s">
        <v>4</v>
      </c>
      <c r="K70" s="1" t="s">
        <v>22</v>
      </c>
      <c r="L70" s="7" t="s">
        <v>247</v>
      </c>
      <c r="M70" s="1" t="s">
        <v>416</v>
      </c>
      <c r="N70" s="4" t="s">
        <v>426</v>
      </c>
      <c r="O70" s="1" t="s">
        <v>346</v>
      </c>
      <c r="P70" s="1" t="s">
        <v>182</v>
      </c>
      <c r="Q70" s="3" t="s">
        <v>553</v>
      </c>
      <c r="R70" s="3" t="s">
        <v>596</v>
      </c>
      <c r="S70" s="1" t="s">
        <v>23</v>
      </c>
      <c r="T70" s="1" t="s">
        <v>389</v>
      </c>
    </row>
    <row r="71" spans="1:20" x14ac:dyDescent="0.25">
      <c r="A71" s="4" t="str">
        <f t="shared" si="0"/>
        <v>18ALM PRF</v>
      </c>
      <c r="B71" s="56"/>
      <c r="C71" s="54"/>
      <c r="D71" s="14" t="s">
        <v>64</v>
      </c>
      <c r="E71" s="14">
        <v>18</v>
      </c>
      <c r="F71" s="3" t="s">
        <v>190</v>
      </c>
      <c r="G71" s="49">
        <v>0.05</v>
      </c>
      <c r="H71" s="44">
        <v>5.0009999999999999E-2</v>
      </c>
      <c r="I71" s="3" t="s">
        <v>415</v>
      </c>
      <c r="J71" s="1" t="s">
        <v>417</v>
      </c>
      <c r="K71" s="1" t="s">
        <v>554</v>
      </c>
      <c r="L71" s="7" t="s">
        <v>427</v>
      </c>
      <c r="M71" s="1" t="s">
        <v>50</v>
      </c>
      <c r="N71" s="4" t="s">
        <v>65</v>
      </c>
      <c r="O71" s="1" t="s">
        <v>535</v>
      </c>
      <c r="P71" s="1" t="s">
        <v>182</v>
      </c>
      <c r="Q71" s="3" t="s">
        <v>318</v>
      </c>
      <c r="R71" s="24" t="s">
        <v>319</v>
      </c>
      <c r="S71" s="1" t="s">
        <v>24</v>
      </c>
      <c r="T71" s="1" t="s">
        <v>66</v>
      </c>
    </row>
    <row r="72" spans="1:20" x14ac:dyDescent="0.25">
      <c r="A72" s="4" t="str">
        <f t="shared" si="0"/>
        <v>18ALM PRFA</v>
      </c>
      <c r="B72" s="56"/>
      <c r="C72" s="54"/>
      <c r="D72" s="14" t="s">
        <v>64</v>
      </c>
      <c r="E72" s="14" t="s">
        <v>542</v>
      </c>
      <c r="F72" s="3" t="s">
        <v>190</v>
      </c>
      <c r="G72" s="49">
        <v>0.05</v>
      </c>
      <c r="H72" s="44">
        <v>5.0020000000000002E-2</v>
      </c>
      <c r="I72" s="3" t="s">
        <v>417</v>
      </c>
      <c r="J72" s="1" t="s">
        <v>4</v>
      </c>
      <c r="K72" s="38" t="s">
        <v>506</v>
      </c>
      <c r="L72" s="64" t="s">
        <v>282</v>
      </c>
      <c r="M72" s="1" t="s">
        <v>50</v>
      </c>
      <c r="N72" s="4" t="s">
        <v>417</v>
      </c>
      <c r="O72" s="1" t="s">
        <v>349</v>
      </c>
      <c r="P72" s="1" t="s">
        <v>182</v>
      </c>
      <c r="Q72" s="3" t="s">
        <v>428</v>
      </c>
      <c r="R72" s="3" t="s">
        <v>467</v>
      </c>
      <c r="S72" s="1" t="s">
        <v>484</v>
      </c>
      <c r="T72" s="1" t="s">
        <v>62</v>
      </c>
    </row>
    <row r="73" spans="1:20" x14ac:dyDescent="0.25">
      <c r="A73" s="4" t="str">
        <f t="shared" si="0"/>
        <v>16ALM PRFA</v>
      </c>
      <c r="B73" s="56"/>
      <c r="C73" s="54"/>
      <c r="D73" s="14" t="s">
        <v>64</v>
      </c>
      <c r="E73" s="14" t="s">
        <v>191</v>
      </c>
      <c r="F73" s="3" t="s">
        <v>497</v>
      </c>
      <c r="G73" s="49">
        <v>6.3E-2</v>
      </c>
      <c r="H73" s="44">
        <v>6.3020000000000007E-2</v>
      </c>
      <c r="I73" s="3" t="s">
        <v>417</v>
      </c>
      <c r="J73" s="1" t="s">
        <v>4</v>
      </c>
      <c r="K73" s="1" t="s">
        <v>248</v>
      </c>
      <c r="L73" s="7" t="s">
        <v>360</v>
      </c>
      <c r="M73" s="1" t="s">
        <v>50</v>
      </c>
      <c r="N73" s="1" t="s">
        <v>417</v>
      </c>
      <c r="O73" s="1" t="s">
        <v>349</v>
      </c>
      <c r="P73" s="1" t="s">
        <v>182</v>
      </c>
      <c r="Q73" s="3" t="s">
        <v>428</v>
      </c>
      <c r="R73" s="3" t="s">
        <v>149</v>
      </c>
      <c r="S73" s="1" t="s">
        <v>484</v>
      </c>
      <c r="T73" s="1" t="s">
        <v>62</v>
      </c>
    </row>
    <row r="74" spans="1:20" x14ac:dyDescent="0.25">
      <c r="A74" s="4" t="str">
        <f t="shared" si="0"/>
        <v>14ALM PRFA</v>
      </c>
      <c r="B74" s="56"/>
      <c r="C74" s="54"/>
      <c r="D74" s="14" t="s">
        <v>64</v>
      </c>
      <c r="E74" s="14" t="s">
        <v>496</v>
      </c>
      <c r="F74" s="3" t="s">
        <v>350</v>
      </c>
      <c r="G74" s="49">
        <v>0.08</v>
      </c>
      <c r="H74" s="44">
        <v>8.0030000000000004E-2</v>
      </c>
      <c r="I74" s="3" t="s">
        <v>417</v>
      </c>
      <c r="J74" s="1" t="s">
        <v>4</v>
      </c>
      <c r="K74" s="1" t="s">
        <v>67</v>
      </c>
      <c r="L74" s="7" t="s">
        <v>390</v>
      </c>
      <c r="M74" s="1" t="s">
        <v>50</v>
      </c>
      <c r="N74" s="1" t="s">
        <v>417</v>
      </c>
      <c r="O74" s="1" t="s">
        <v>349</v>
      </c>
      <c r="P74" s="1" t="s">
        <v>182</v>
      </c>
      <c r="Q74" s="3" t="s">
        <v>428</v>
      </c>
      <c r="R74" s="3" t="s">
        <v>627</v>
      </c>
      <c r="S74" s="1" t="s">
        <v>484</v>
      </c>
      <c r="T74" s="1" t="s">
        <v>62</v>
      </c>
    </row>
    <row r="75" spans="1:20" x14ac:dyDescent="0.25">
      <c r="A75" s="4" t="str">
        <f t="shared" si="0"/>
        <v>14ALM PRFB</v>
      </c>
      <c r="B75" s="56"/>
      <c r="C75" s="54"/>
      <c r="D75" s="14" t="s">
        <v>64</v>
      </c>
      <c r="E75" s="14" t="s">
        <v>496</v>
      </c>
      <c r="F75" s="3" t="s">
        <v>350</v>
      </c>
      <c r="G75" s="49">
        <v>0.08</v>
      </c>
      <c r="H75" s="44">
        <v>8.004E-2</v>
      </c>
      <c r="I75" s="3" t="s">
        <v>417</v>
      </c>
      <c r="J75" s="1" t="s">
        <v>4</v>
      </c>
      <c r="K75" s="1" t="s">
        <v>628</v>
      </c>
      <c r="L75" s="7" t="s">
        <v>25</v>
      </c>
      <c r="M75" s="1" t="s">
        <v>50</v>
      </c>
      <c r="N75" s="1" t="s">
        <v>417</v>
      </c>
      <c r="O75" s="1" t="s">
        <v>349</v>
      </c>
      <c r="P75" s="1" t="s">
        <v>182</v>
      </c>
      <c r="Q75" s="3" t="s">
        <v>597</v>
      </c>
      <c r="R75" s="3" t="s">
        <v>150</v>
      </c>
      <c r="S75" s="1" t="s">
        <v>23</v>
      </c>
      <c r="T75" s="1" t="s">
        <v>389</v>
      </c>
    </row>
    <row r="76" spans="1:20" x14ac:dyDescent="0.25">
      <c r="A76" s="4" t="str">
        <f t="shared" si="0"/>
        <v>16SST304PA</v>
      </c>
      <c r="B76" s="56"/>
      <c r="C76" s="54"/>
      <c r="D76" s="14" t="s">
        <v>198</v>
      </c>
      <c r="E76" s="14" t="s">
        <v>191</v>
      </c>
      <c r="F76" s="3" t="s">
        <v>13</v>
      </c>
      <c r="G76" s="49">
        <v>0.06</v>
      </c>
      <c r="H76" s="44">
        <v>6.0040000000000003E-2</v>
      </c>
      <c r="I76" s="3" t="s">
        <v>417</v>
      </c>
      <c r="J76" s="1" t="s">
        <v>4</v>
      </c>
      <c r="K76" s="1" t="s">
        <v>555</v>
      </c>
      <c r="L76" s="7" t="s">
        <v>468</v>
      </c>
      <c r="M76" s="1" t="s">
        <v>501</v>
      </c>
      <c r="N76" s="4" t="s">
        <v>422</v>
      </c>
      <c r="O76" s="1" t="s">
        <v>535</v>
      </c>
      <c r="P76" s="1" t="s">
        <v>182</v>
      </c>
      <c r="Q76" s="3" t="s">
        <v>391</v>
      </c>
      <c r="R76" s="3" t="s">
        <v>629</v>
      </c>
      <c r="S76" s="1" t="s">
        <v>484</v>
      </c>
      <c r="T76" s="1" t="s">
        <v>62</v>
      </c>
    </row>
    <row r="77" spans="1:20" x14ac:dyDescent="0.25">
      <c r="A77" s="4" t="str">
        <f t="shared" si="0"/>
        <v>18SST304PA</v>
      </c>
      <c r="B77" s="56"/>
      <c r="C77" s="39"/>
      <c r="D77" s="14" t="s">
        <v>198</v>
      </c>
      <c r="E77" s="14" t="s">
        <v>542</v>
      </c>
      <c r="F77" s="3" t="s">
        <v>354</v>
      </c>
      <c r="G77" s="49">
        <v>4.8000000000000001E-2</v>
      </c>
      <c r="H77" s="44">
        <v>4.8030000000000003E-2</v>
      </c>
      <c r="I77" s="3" t="s">
        <v>417</v>
      </c>
      <c r="J77" s="1" t="s">
        <v>4</v>
      </c>
      <c r="K77" s="1" t="s">
        <v>249</v>
      </c>
      <c r="L77" s="7" t="s">
        <v>361</v>
      </c>
      <c r="M77" s="1" t="s">
        <v>501</v>
      </c>
      <c r="N77" s="4" t="s">
        <v>422</v>
      </c>
      <c r="O77" s="1" t="s">
        <v>535</v>
      </c>
      <c r="P77" s="1" t="s">
        <v>182</v>
      </c>
      <c r="Q77" s="3" t="s">
        <v>391</v>
      </c>
      <c r="R77" s="3" t="s">
        <v>199</v>
      </c>
      <c r="S77" s="1" t="s">
        <v>484</v>
      </c>
      <c r="T77" s="1" t="s">
        <v>62</v>
      </c>
    </row>
    <row r="78" spans="1:20" x14ac:dyDescent="0.25">
      <c r="A78" s="4" t="str">
        <f t="shared" si="0"/>
        <v>20SST304PA</v>
      </c>
      <c r="B78" s="56"/>
      <c r="C78" s="39"/>
      <c r="D78" s="14" t="s">
        <v>198</v>
      </c>
      <c r="E78" s="14" t="s">
        <v>347</v>
      </c>
      <c r="F78" s="3" t="s">
        <v>14</v>
      </c>
      <c r="G78" s="49">
        <v>3.5000000000000003E-2</v>
      </c>
      <c r="H78" s="44">
        <v>3.5029999999999999E-2</v>
      </c>
      <c r="I78" s="3" t="s">
        <v>417</v>
      </c>
      <c r="J78" s="3" t="s">
        <v>4</v>
      </c>
      <c r="K78" s="3" t="s">
        <v>26</v>
      </c>
      <c r="L78" s="14" t="s">
        <v>27</v>
      </c>
      <c r="M78" s="3" t="s">
        <v>501</v>
      </c>
      <c r="N78" s="4" t="s">
        <v>422</v>
      </c>
      <c r="O78" s="3" t="s">
        <v>535</v>
      </c>
      <c r="P78" s="3" t="s">
        <v>182</v>
      </c>
      <c r="Q78" s="3" t="s">
        <v>391</v>
      </c>
      <c r="R78" s="3" t="s">
        <v>200</v>
      </c>
      <c r="S78" s="3" t="s">
        <v>484</v>
      </c>
      <c r="T78" s="3" t="s">
        <v>62</v>
      </c>
    </row>
    <row r="79" spans="1:20" x14ac:dyDescent="0.25">
      <c r="A79" s="4" t="str">
        <f t="shared" si="0"/>
        <v>16SST304PC</v>
      </c>
      <c r="B79" s="56"/>
      <c r="C79" s="39"/>
      <c r="D79" s="14" t="s">
        <v>198</v>
      </c>
      <c r="E79" s="7" t="s">
        <v>191</v>
      </c>
      <c r="F79" s="1" t="s">
        <v>13</v>
      </c>
      <c r="G79" s="30">
        <v>0.06</v>
      </c>
      <c r="H79" s="27">
        <v>6.0049999999999999E-2</v>
      </c>
      <c r="I79" s="1" t="s">
        <v>417</v>
      </c>
      <c r="J79" s="1" t="s">
        <v>4</v>
      </c>
      <c r="K79" s="1" t="s">
        <v>429</v>
      </c>
      <c r="L79" s="7" t="s">
        <v>556</v>
      </c>
      <c r="M79" s="1" t="s">
        <v>501</v>
      </c>
      <c r="N79" s="4" t="s">
        <v>422</v>
      </c>
      <c r="O79" s="3" t="s">
        <v>535</v>
      </c>
      <c r="P79" s="1" t="s">
        <v>182</v>
      </c>
      <c r="Q79" s="3" t="s">
        <v>68</v>
      </c>
      <c r="R79" s="1" t="s">
        <v>151</v>
      </c>
      <c r="S79" s="1" t="s">
        <v>62</v>
      </c>
      <c r="T79" s="1" t="s">
        <v>69</v>
      </c>
    </row>
    <row r="80" spans="1:20" ht="15.75" thickBot="1" x14ac:dyDescent="0.3">
      <c r="A80" s="112" t="str">
        <f t="shared" si="0"/>
        <v>18SST304PB</v>
      </c>
      <c r="B80" s="56"/>
      <c r="C80" s="39"/>
      <c r="D80" s="84" t="s">
        <v>198</v>
      </c>
      <c r="E80" s="84" t="s">
        <v>542</v>
      </c>
      <c r="F80" s="25" t="s">
        <v>354</v>
      </c>
      <c r="G80" s="254">
        <v>4.8000000000000001E-2</v>
      </c>
      <c r="H80" s="237">
        <v>4.8039999999999999E-2</v>
      </c>
      <c r="I80" s="25" t="s">
        <v>417</v>
      </c>
      <c r="J80" s="25" t="s">
        <v>4</v>
      </c>
      <c r="K80" s="25" t="s">
        <v>70</v>
      </c>
      <c r="L80" s="84" t="s">
        <v>362</v>
      </c>
      <c r="M80" s="25" t="s">
        <v>501</v>
      </c>
      <c r="N80" s="112" t="s">
        <v>422</v>
      </c>
      <c r="O80" s="25" t="s">
        <v>535</v>
      </c>
      <c r="P80" s="25" t="s">
        <v>182</v>
      </c>
      <c r="Q80" s="25" t="s">
        <v>557</v>
      </c>
      <c r="R80" s="25" t="s">
        <v>392</v>
      </c>
      <c r="S80" s="25" t="s">
        <v>23</v>
      </c>
      <c r="T80" s="25" t="s">
        <v>389</v>
      </c>
    </row>
    <row r="81" spans="1:20" ht="16.5" thickTop="1" thickBot="1" x14ac:dyDescent="0.3">
      <c r="A81" s="43" t="str">
        <f t="shared" si="0"/>
        <v/>
      </c>
      <c r="B81" s="56"/>
      <c r="C81" s="52"/>
      <c r="D81" s="9"/>
      <c r="E81" s="9"/>
      <c r="F81" s="9"/>
      <c r="G81" s="100"/>
      <c r="H81" s="9"/>
      <c r="I81" s="9"/>
      <c r="J81" s="9"/>
      <c r="K81" s="9"/>
      <c r="L81" s="9"/>
      <c r="M81" s="11"/>
      <c r="N81" s="11"/>
      <c r="O81" s="11"/>
      <c r="P81" s="11"/>
      <c r="Q81" s="11"/>
      <c r="R81" s="11"/>
      <c r="S81" s="11"/>
      <c r="T81" s="164"/>
    </row>
    <row r="82" spans="1:20" ht="17.25" thickTop="1" thickBot="1" x14ac:dyDescent="0.3">
      <c r="A82" s="55" t="str">
        <f t="shared" si="0"/>
        <v/>
      </c>
      <c r="B82" s="56"/>
      <c r="C82" s="65" t="s">
        <v>250</v>
      </c>
      <c r="D82" s="2"/>
      <c r="E82" s="2"/>
      <c r="F82" s="2"/>
      <c r="G82" s="66"/>
      <c r="H82" s="2"/>
      <c r="I82" s="2"/>
      <c r="J82" s="2"/>
      <c r="K82" s="2"/>
      <c r="L82" s="2"/>
      <c r="M82" s="6"/>
      <c r="N82" s="6"/>
      <c r="O82" s="6"/>
      <c r="P82" s="6"/>
      <c r="Q82" s="6"/>
      <c r="R82" s="6"/>
      <c r="S82" s="6"/>
      <c r="T82" s="6"/>
    </row>
    <row r="83" spans="1:20" ht="15.75" thickTop="1" x14ac:dyDescent="0.25">
      <c r="A83" s="28" t="str">
        <f t="shared" si="0"/>
        <v>9GALV EXPA</v>
      </c>
      <c r="B83" s="56"/>
      <c r="C83" s="39"/>
      <c r="D83" s="35" t="s">
        <v>283</v>
      </c>
      <c r="E83" s="35" t="s">
        <v>469</v>
      </c>
      <c r="F83" s="8" t="s">
        <v>363</v>
      </c>
      <c r="G83" s="75">
        <v>0.14599999999999999</v>
      </c>
      <c r="H83" s="86">
        <v>0.14602000000000001</v>
      </c>
      <c r="I83" s="8" t="s">
        <v>415</v>
      </c>
      <c r="J83" s="8" t="s">
        <v>417</v>
      </c>
      <c r="K83" s="8" t="s">
        <v>251</v>
      </c>
      <c r="L83" s="35" t="s">
        <v>393</v>
      </c>
      <c r="M83" s="8" t="s">
        <v>416</v>
      </c>
      <c r="N83" s="28" t="s">
        <v>28</v>
      </c>
      <c r="O83" s="8" t="s">
        <v>630</v>
      </c>
      <c r="P83" s="8" t="s">
        <v>182</v>
      </c>
      <c r="Q83" s="8" t="s">
        <v>320</v>
      </c>
      <c r="R83" s="28" t="s">
        <v>29</v>
      </c>
      <c r="S83" s="8" t="s">
        <v>507</v>
      </c>
      <c r="T83" s="8" t="s">
        <v>598</v>
      </c>
    </row>
    <row r="84" spans="1:20" x14ac:dyDescent="0.25">
      <c r="A84" s="4" t="str">
        <f t="shared" si="0"/>
        <v>9GALV EXPB</v>
      </c>
      <c r="B84" s="56"/>
      <c r="C84" s="39"/>
      <c r="D84" s="14" t="s">
        <v>283</v>
      </c>
      <c r="E84" s="14" t="s">
        <v>469</v>
      </c>
      <c r="F84" s="3" t="s">
        <v>363</v>
      </c>
      <c r="G84" s="49">
        <v>0.14599999999999999</v>
      </c>
      <c r="H84" s="27">
        <v>0.14601</v>
      </c>
      <c r="I84" s="3" t="s">
        <v>415</v>
      </c>
      <c r="J84" s="3" t="s">
        <v>417</v>
      </c>
      <c r="K84" s="3" t="s">
        <v>470</v>
      </c>
      <c r="L84" s="14" t="s">
        <v>558</v>
      </c>
      <c r="M84" s="3" t="s">
        <v>416</v>
      </c>
      <c r="N84" s="24" t="s">
        <v>28</v>
      </c>
      <c r="O84" s="3" t="s">
        <v>630</v>
      </c>
      <c r="P84" s="3" t="s">
        <v>182</v>
      </c>
      <c r="Q84" s="3" t="s">
        <v>471</v>
      </c>
      <c r="R84" s="24" t="s">
        <v>201</v>
      </c>
      <c r="S84" s="3" t="s">
        <v>152</v>
      </c>
      <c r="T84" s="3" t="s">
        <v>598</v>
      </c>
    </row>
    <row r="85" spans="1:20" x14ac:dyDescent="0.25">
      <c r="A85" s="4" t="str">
        <f t="shared" si="0"/>
        <v>9GALV EXPBY</v>
      </c>
      <c r="B85" s="56"/>
      <c r="C85" s="39"/>
      <c r="D85" s="14" t="s">
        <v>283</v>
      </c>
      <c r="E85" s="7" t="s">
        <v>469</v>
      </c>
      <c r="F85" s="1" t="s">
        <v>363</v>
      </c>
      <c r="G85" s="30">
        <v>0.14599999999999999</v>
      </c>
      <c r="H85" s="44">
        <v>0.14604</v>
      </c>
      <c r="I85" s="1" t="s">
        <v>417</v>
      </c>
      <c r="J85" s="1" t="s">
        <v>4</v>
      </c>
      <c r="K85" s="1" t="s">
        <v>153</v>
      </c>
      <c r="L85" s="7" t="s">
        <v>321</v>
      </c>
      <c r="M85" s="1" t="s">
        <v>416</v>
      </c>
      <c r="N85" s="4" t="s">
        <v>28</v>
      </c>
      <c r="O85" s="1" t="s">
        <v>154</v>
      </c>
      <c r="P85" s="1" t="s">
        <v>182</v>
      </c>
      <c r="Q85" s="1" t="s">
        <v>202</v>
      </c>
      <c r="R85" s="4" t="s">
        <v>364</v>
      </c>
      <c r="S85" s="1" t="s">
        <v>152</v>
      </c>
      <c r="T85" s="1" t="s">
        <v>598</v>
      </c>
    </row>
    <row r="86" spans="1:20" x14ac:dyDescent="0.25">
      <c r="A86" s="4" t="str">
        <f t="shared" si="0"/>
        <v>11GALV EXPA</v>
      </c>
      <c r="B86" s="56"/>
      <c r="C86" s="54"/>
      <c r="D86" s="14" t="s">
        <v>283</v>
      </c>
      <c r="E86" s="7" t="s">
        <v>11</v>
      </c>
      <c r="F86" s="1" t="s">
        <v>322</v>
      </c>
      <c r="G86" s="30">
        <v>0.12</v>
      </c>
      <c r="H86" s="27">
        <v>0.12001000000000001</v>
      </c>
      <c r="I86" s="1" t="s">
        <v>417</v>
      </c>
      <c r="J86" s="1" t="s">
        <v>4</v>
      </c>
      <c r="K86" s="1" t="s">
        <v>203</v>
      </c>
      <c r="L86" s="7" t="s">
        <v>106</v>
      </c>
      <c r="M86" s="1" t="s">
        <v>416</v>
      </c>
      <c r="N86" s="4" t="s">
        <v>28</v>
      </c>
      <c r="O86" s="1" t="s">
        <v>630</v>
      </c>
      <c r="P86" s="1" t="s">
        <v>182</v>
      </c>
      <c r="Q86" s="1" t="s">
        <v>320</v>
      </c>
      <c r="R86" s="4" t="s">
        <v>204</v>
      </c>
      <c r="S86" s="1" t="s">
        <v>507</v>
      </c>
      <c r="T86" s="1" t="s">
        <v>598</v>
      </c>
    </row>
    <row r="87" spans="1:20" x14ac:dyDescent="0.25">
      <c r="A87" s="4" t="str">
        <f t="shared" si="0"/>
        <v>16ALM EXP</v>
      </c>
      <c r="B87" s="56"/>
      <c r="C87" s="54"/>
      <c r="D87" s="14" t="s">
        <v>205</v>
      </c>
      <c r="E87" s="7" t="s">
        <v>191</v>
      </c>
      <c r="F87" s="1" t="s">
        <v>13</v>
      </c>
      <c r="G87" s="30">
        <v>0.06</v>
      </c>
      <c r="H87" s="27">
        <v>6.0060000000000002E-2</v>
      </c>
      <c r="I87" s="1" t="s">
        <v>415</v>
      </c>
      <c r="J87" s="1" t="s">
        <v>417</v>
      </c>
      <c r="K87" s="1" t="s">
        <v>206</v>
      </c>
      <c r="L87" s="7" t="s">
        <v>207</v>
      </c>
      <c r="M87" s="1" t="s">
        <v>50</v>
      </c>
      <c r="N87" s="4" t="s">
        <v>417</v>
      </c>
      <c r="O87" s="1" t="s">
        <v>346</v>
      </c>
      <c r="P87" s="1" t="s">
        <v>182</v>
      </c>
      <c r="Q87" s="1" t="s">
        <v>71</v>
      </c>
      <c r="R87" s="4" t="s">
        <v>559</v>
      </c>
      <c r="S87" s="1" t="s">
        <v>208</v>
      </c>
      <c r="T87" s="1" t="s">
        <v>598</v>
      </c>
    </row>
    <row r="88" spans="1:20" x14ac:dyDescent="0.25">
      <c r="A88" s="4" t="str">
        <f t="shared" si="0"/>
        <v>9SST304E</v>
      </c>
      <c r="B88" s="56"/>
      <c r="C88" s="54"/>
      <c r="D88" s="14" t="s">
        <v>508</v>
      </c>
      <c r="E88" s="7" t="s">
        <v>469</v>
      </c>
      <c r="F88" s="1" t="s">
        <v>363</v>
      </c>
      <c r="G88" s="30">
        <v>0.14599999999999999</v>
      </c>
      <c r="H88" s="27">
        <v>0.14602999999999999</v>
      </c>
      <c r="I88" s="1" t="s">
        <v>417</v>
      </c>
      <c r="J88" s="1" t="s">
        <v>4</v>
      </c>
      <c r="K88" s="1" t="s">
        <v>72</v>
      </c>
      <c r="L88" s="7" t="s">
        <v>284</v>
      </c>
      <c r="M88" s="38">
        <v>304</v>
      </c>
      <c r="N88" s="4" t="s">
        <v>422</v>
      </c>
      <c r="O88" s="1" t="s">
        <v>154</v>
      </c>
      <c r="P88" s="1" t="s">
        <v>182</v>
      </c>
      <c r="Q88" s="1" t="s">
        <v>107</v>
      </c>
      <c r="R88" s="4" t="s">
        <v>155</v>
      </c>
      <c r="S88" s="1" t="s">
        <v>152</v>
      </c>
      <c r="T88" s="1" t="s">
        <v>598</v>
      </c>
    </row>
    <row r="89" spans="1:20" x14ac:dyDescent="0.25">
      <c r="A89" s="4" t="str">
        <f t="shared" si="0"/>
        <v>11SST304E</v>
      </c>
      <c r="B89" s="56"/>
      <c r="C89" s="54"/>
      <c r="D89" s="14" t="s">
        <v>508</v>
      </c>
      <c r="E89" s="7" t="s">
        <v>11</v>
      </c>
      <c r="F89" s="1" t="s">
        <v>322</v>
      </c>
      <c r="G89" s="30">
        <v>0.12</v>
      </c>
      <c r="H89" s="27">
        <v>0.12002</v>
      </c>
      <c r="I89" s="1" t="s">
        <v>417</v>
      </c>
      <c r="J89" s="1" t="s">
        <v>4</v>
      </c>
      <c r="K89" s="1" t="s">
        <v>430</v>
      </c>
      <c r="L89" s="7" t="s">
        <v>472</v>
      </c>
      <c r="M89" s="1" t="s">
        <v>501</v>
      </c>
      <c r="N89" s="4" t="s">
        <v>422</v>
      </c>
      <c r="O89" s="1" t="s">
        <v>535</v>
      </c>
      <c r="P89" s="1" t="s">
        <v>182</v>
      </c>
      <c r="Q89" s="1" t="s">
        <v>107</v>
      </c>
      <c r="R89" s="1" t="s">
        <v>431</v>
      </c>
      <c r="S89" s="1" t="s">
        <v>507</v>
      </c>
      <c r="T89" s="1" t="s">
        <v>598</v>
      </c>
    </row>
    <row r="90" spans="1:20" x14ac:dyDescent="0.25">
      <c r="A90" s="4" t="str">
        <f t="shared" si="0"/>
        <v>20ALM EMB</v>
      </c>
      <c r="B90" s="56"/>
      <c r="C90" s="54"/>
      <c r="D90" s="7" t="s">
        <v>509</v>
      </c>
      <c r="E90" s="7" t="s">
        <v>347</v>
      </c>
      <c r="F90" s="1" t="s">
        <v>348</v>
      </c>
      <c r="G90" s="30">
        <v>0.04</v>
      </c>
      <c r="H90" s="27">
        <v>4.002E-2</v>
      </c>
      <c r="I90" s="1" t="s">
        <v>417</v>
      </c>
      <c r="J90" s="1" t="s">
        <v>4</v>
      </c>
      <c r="K90" s="1" t="s">
        <v>252</v>
      </c>
      <c r="L90" s="7" t="s">
        <v>365</v>
      </c>
      <c r="M90" s="1" t="s">
        <v>50</v>
      </c>
      <c r="N90" s="4" t="s">
        <v>209</v>
      </c>
      <c r="O90" s="1" t="s">
        <v>349</v>
      </c>
      <c r="P90" s="1" t="s">
        <v>182</v>
      </c>
      <c r="Q90" s="1" t="s">
        <v>73</v>
      </c>
      <c r="R90" s="1" t="s">
        <v>560</v>
      </c>
      <c r="S90" s="1" t="s">
        <v>473</v>
      </c>
      <c r="T90" s="1" t="s">
        <v>582</v>
      </c>
    </row>
    <row r="91" spans="1:20" x14ac:dyDescent="0.25">
      <c r="A91" s="68" t="str">
        <f t="shared" si="0"/>
        <v>16ALM EMB</v>
      </c>
      <c r="B91" s="88"/>
      <c r="C91" s="79"/>
      <c r="D91" s="42" t="s">
        <v>509</v>
      </c>
      <c r="E91" s="42" t="s">
        <v>191</v>
      </c>
      <c r="F91" s="5" t="s">
        <v>497</v>
      </c>
      <c r="G91" s="87">
        <v>6.3E-2</v>
      </c>
      <c r="H91" s="103">
        <v>6.3030000000000003E-2</v>
      </c>
      <c r="I91" s="5" t="s">
        <v>417</v>
      </c>
      <c r="J91" s="5" t="s">
        <v>4</v>
      </c>
      <c r="K91" s="5" t="s">
        <v>643</v>
      </c>
      <c r="L91" s="42" t="s">
        <v>296</v>
      </c>
      <c r="M91" s="5" t="s">
        <v>50</v>
      </c>
      <c r="N91" s="72" t="s">
        <v>209</v>
      </c>
      <c r="O91" s="5" t="s">
        <v>349</v>
      </c>
      <c r="P91" s="5" t="s">
        <v>182</v>
      </c>
      <c r="Q91" s="5" t="s">
        <v>73</v>
      </c>
      <c r="R91" s="5" t="s">
        <v>85</v>
      </c>
      <c r="S91" s="5" t="s">
        <v>473</v>
      </c>
      <c r="T91" s="5" t="s">
        <v>582</v>
      </c>
    </row>
    <row r="92" spans="1:20" x14ac:dyDescent="0.25">
      <c r="A92" s="4" t="str">
        <f t="shared" si="0"/>
        <v>14ALM EMB</v>
      </c>
      <c r="B92" s="56"/>
      <c r="C92" s="39"/>
      <c r="D92" s="7" t="s">
        <v>509</v>
      </c>
      <c r="E92" s="7" t="s">
        <v>496</v>
      </c>
      <c r="F92" s="1" t="s">
        <v>350</v>
      </c>
      <c r="G92" s="30">
        <v>0.08</v>
      </c>
      <c r="H92" s="27">
        <v>8.0019999999999994E-2</v>
      </c>
      <c r="I92" s="1" t="s">
        <v>417</v>
      </c>
      <c r="J92" s="1" t="s">
        <v>4</v>
      </c>
      <c r="K92" s="38" t="s">
        <v>156</v>
      </c>
      <c r="L92" s="64" t="s">
        <v>285</v>
      </c>
      <c r="M92" s="38" t="s">
        <v>50</v>
      </c>
      <c r="N92" s="4" t="s">
        <v>209</v>
      </c>
      <c r="O92" s="1" t="s">
        <v>349</v>
      </c>
      <c r="P92" s="1" t="s">
        <v>182</v>
      </c>
      <c r="Q92" s="1" t="s">
        <v>73</v>
      </c>
      <c r="R92" s="1" t="s">
        <v>561</v>
      </c>
      <c r="S92" s="1" t="s">
        <v>473</v>
      </c>
      <c r="T92" s="1" t="s">
        <v>582</v>
      </c>
    </row>
    <row r="93" spans="1:20" x14ac:dyDescent="0.25">
      <c r="A93" s="4" t="str">
        <f t="shared" si="0"/>
        <v>1SST304G</v>
      </c>
      <c r="B93" s="56"/>
      <c r="C93" s="39"/>
      <c r="D93" s="14" t="s">
        <v>253</v>
      </c>
      <c r="E93" s="14" t="s">
        <v>432</v>
      </c>
      <c r="F93" s="3" t="s">
        <v>474</v>
      </c>
      <c r="G93" s="49">
        <v>1</v>
      </c>
      <c r="H93" s="44">
        <v>1.0000199999999999</v>
      </c>
      <c r="I93" s="3" t="s">
        <v>417</v>
      </c>
      <c r="J93" s="3" t="s">
        <v>4</v>
      </c>
      <c r="K93" s="82" t="s">
        <v>366</v>
      </c>
      <c r="L93" s="14" t="s">
        <v>286</v>
      </c>
      <c r="M93" s="3" t="s">
        <v>501</v>
      </c>
      <c r="N93" s="82" t="s">
        <v>422</v>
      </c>
      <c r="O93" s="3" t="s">
        <v>157</v>
      </c>
      <c r="P93" s="3" t="s">
        <v>182</v>
      </c>
      <c r="Q93" s="3" t="s">
        <v>433</v>
      </c>
      <c r="R93" s="24" t="s">
        <v>394</v>
      </c>
      <c r="S93" s="24" t="s">
        <v>562</v>
      </c>
      <c r="T93" s="24" t="s">
        <v>582</v>
      </c>
    </row>
    <row r="94" spans="1:20" x14ac:dyDescent="0.25">
      <c r="A94" s="4" t="str">
        <f t="shared" si="0"/>
        <v>1ALM GRATE</v>
      </c>
      <c r="B94" s="56"/>
      <c r="C94" s="39"/>
      <c r="D94" s="7" t="s">
        <v>253</v>
      </c>
      <c r="E94" s="7" t="s">
        <v>432</v>
      </c>
      <c r="F94" s="1" t="s">
        <v>474</v>
      </c>
      <c r="G94" s="30">
        <v>1</v>
      </c>
      <c r="H94" s="27">
        <v>1.00003</v>
      </c>
      <c r="I94" s="1" t="s">
        <v>417</v>
      </c>
      <c r="J94" s="1" t="s">
        <v>4</v>
      </c>
      <c r="K94" s="1" t="s">
        <v>323</v>
      </c>
      <c r="L94" s="7" t="s">
        <v>631</v>
      </c>
      <c r="M94" s="1" t="s">
        <v>50</v>
      </c>
      <c r="N94" s="24" t="s">
        <v>417</v>
      </c>
      <c r="O94" s="3" t="s">
        <v>157</v>
      </c>
      <c r="P94" s="3" t="s">
        <v>182</v>
      </c>
      <c r="Q94" s="1" t="s">
        <v>287</v>
      </c>
      <c r="R94" s="4" t="s">
        <v>395</v>
      </c>
      <c r="S94" s="1" t="s">
        <v>288</v>
      </c>
      <c r="T94" s="1" t="s">
        <v>582</v>
      </c>
    </row>
    <row r="95" spans="1:20" x14ac:dyDescent="0.25">
      <c r="A95" s="4" t="str">
        <f t="shared" si="0"/>
        <v>1GALV GRATE</v>
      </c>
      <c r="B95" s="56"/>
      <c r="C95" s="39"/>
      <c r="D95" s="7" t="s">
        <v>253</v>
      </c>
      <c r="E95" s="7" t="s">
        <v>432</v>
      </c>
      <c r="F95" s="1" t="s">
        <v>474</v>
      </c>
      <c r="G95" s="30">
        <v>1</v>
      </c>
      <c r="H95" s="27">
        <v>1.0000100000000001</v>
      </c>
      <c r="I95" s="1" t="s">
        <v>417</v>
      </c>
      <c r="J95" s="1" t="s">
        <v>4</v>
      </c>
      <c r="K95" s="1" t="s">
        <v>254</v>
      </c>
      <c r="L95" s="7" t="s">
        <v>74</v>
      </c>
      <c r="M95" s="1" t="s">
        <v>416</v>
      </c>
      <c r="N95" s="4" t="s">
        <v>563</v>
      </c>
      <c r="O95" s="1" t="s">
        <v>157</v>
      </c>
      <c r="P95" s="1" t="s">
        <v>182</v>
      </c>
      <c r="Q95" s="1" t="s">
        <v>367</v>
      </c>
      <c r="R95" s="4" t="s">
        <v>210</v>
      </c>
      <c r="S95" s="1" t="s">
        <v>564</v>
      </c>
      <c r="T95" s="1" t="s">
        <v>582</v>
      </c>
    </row>
    <row r="96" spans="1:20" x14ac:dyDescent="0.25">
      <c r="A96" s="4" t="str">
        <f t="shared" si="0"/>
        <v>19GALV CLOTH</v>
      </c>
      <c r="B96" s="56"/>
      <c r="C96" s="54"/>
      <c r="D96" s="7" t="s">
        <v>324</v>
      </c>
      <c r="E96" s="7" t="s">
        <v>75</v>
      </c>
      <c r="F96" s="1" t="s">
        <v>211</v>
      </c>
      <c r="G96" s="30">
        <v>0.04</v>
      </c>
      <c r="H96" s="27">
        <v>4.0030000000000003E-2</v>
      </c>
      <c r="I96" s="1" t="s">
        <v>417</v>
      </c>
      <c r="J96" s="1" t="s">
        <v>4</v>
      </c>
      <c r="K96" s="1" t="s">
        <v>632</v>
      </c>
      <c r="L96" s="7" t="s">
        <v>475</v>
      </c>
      <c r="M96" s="1" t="s">
        <v>416</v>
      </c>
      <c r="N96" s="4" t="s">
        <v>599</v>
      </c>
      <c r="O96" s="1" t="s">
        <v>630</v>
      </c>
      <c r="P96" s="1" t="s">
        <v>182</v>
      </c>
      <c r="Q96" s="1" t="s">
        <v>76</v>
      </c>
      <c r="R96" s="4" t="s">
        <v>434</v>
      </c>
      <c r="S96" s="1" t="s">
        <v>582</v>
      </c>
      <c r="T96" s="1" t="s">
        <v>582</v>
      </c>
    </row>
    <row r="97" spans="1:20" ht="15.75" thickBot="1" x14ac:dyDescent="0.3">
      <c r="A97" s="152" t="str">
        <f t="shared" si="0"/>
        <v>19SST304 CLOTH</v>
      </c>
      <c r="B97" s="88"/>
      <c r="C97" s="79"/>
      <c r="D97" s="89" t="s">
        <v>324</v>
      </c>
      <c r="E97" s="89" t="s">
        <v>75</v>
      </c>
      <c r="F97" s="29" t="s">
        <v>525</v>
      </c>
      <c r="G97" s="239">
        <v>4.1000000000000002E-2</v>
      </c>
      <c r="H97" s="142">
        <v>4.1009999999999998E-2</v>
      </c>
      <c r="I97" s="29" t="s">
        <v>417</v>
      </c>
      <c r="J97" s="29" t="s">
        <v>4</v>
      </c>
      <c r="K97" s="29" t="s">
        <v>32</v>
      </c>
      <c r="L97" s="89" t="s">
        <v>268</v>
      </c>
      <c r="M97" s="29" t="s">
        <v>501</v>
      </c>
      <c r="N97" s="99" t="s">
        <v>422</v>
      </c>
      <c r="O97" s="29" t="s">
        <v>346</v>
      </c>
      <c r="P97" s="29" t="s">
        <v>182</v>
      </c>
      <c r="Q97" s="29" t="s">
        <v>223</v>
      </c>
      <c r="R97" s="99" t="s">
        <v>526</v>
      </c>
      <c r="S97" s="29" t="s">
        <v>582</v>
      </c>
      <c r="T97" s="29" t="s">
        <v>582</v>
      </c>
    </row>
    <row r="98" spans="1:20" ht="16.5" thickTop="1" thickBot="1" x14ac:dyDescent="0.3">
      <c r="A98" s="43" t="str">
        <f t="shared" si="0"/>
        <v/>
      </c>
      <c r="B98" s="56"/>
      <c r="C98" s="170"/>
      <c r="D98" s="40"/>
      <c r="E98" s="40"/>
      <c r="F98" s="40"/>
      <c r="G98" s="257"/>
      <c r="H98" s="40"/>
      <c r="I98" s="40"/>
      <c r="J98" s="40"/>
      <c r="K98" s="40"/>
      <c r="L98" s="40"/>
      <c r="M98" s="48"/>
      <c r="N98" s="48"/>
      <c r="O98" s="48"/>
      <c r="P98" s="48"/>
      <c r="Q98" s="48"/>
      <c r="R98" s="48"/>
      <c r="S98" s="48"/>
      <c r="T98" s="245"/>
    </row>
    <row r="99" spans="1:20" ht="17.25" thickTop="1" thickBot="1" x14ac:dyDescent="0.3">
      <c r="A99" s="55" t="str">
        <f>CONCATENATE(G99,Q99)</f>
        <v/>
      </c>
      <c r="B99" s="56"/>
      <c r="C99" s="65" t="s">
        <v>510</v>
      </c>
      <c r="D99" s="2"/>
      <c r="E99" s="2"/>
      <c r="F99" s="2"/>
      <c r="G99" s="66"/>
      <c r="H99" s="2"/>
      <c r="I99" s="2"/>
      <c r="J99" s="2"/>
      <c r="K99" s="2"/>
      <c r="L99" s="2"/>
      <c r="M99" s="6"/>
      <c r="N99" s="6"/>
      <c r="O99" s="6"/>
      <c r="P99" s="6"/>
      <c r="Q99" s="6"/>
      <c r="R99" s="6"/>
      <c r="S99" s="6"/>
      <c r="T99" s="6"/>
    </row>
    <row r="100" spans="1:20" ht="15.75" thickTop="1" x14ac:dyDescent="0.25">
      <c r="A100" s="28" t="str">
        <f t="shared" ref="A100:A103" si="1">CONCATENATE(E100,Q100)</f>
        <v>12STL DIA HR</v>
      </c>
      <c r="B100" s="56"/>
      <c r="C100" s="39"/>
      <c r="D100" s="69" t="s">
        <v>255</v>
      </c>
      <c r="E100" s="69" t="s">
        <v>188</v>
      </c>
      <c r="F100" s="32" t="s">
        <v>534</v>
      </c>
      <c r="G100" s="176">
        <v>9.7000000000000003E-2</v>
      </c>
      <c r="H100" s="236">
        <v>9.7030000000000005E-2</v>
      </c>
      <c r="I100" s="32" t="s">
        <v>417</v>
      </c>
      <c r="J100" s="32" t="s">
        <v>4</v>
      </c>
      <c r="K100" s="32" t="s">
        <v>435</v>
      </c>
      <c r="L100" s="69" t="s">
        <v>600</v>
      </c>
      <c r="M100" s="32" t="s">
        <v>616</v>
      </c>
      <c r="N100" s="117" t="s">
        <v>417</v>
      </c>
      <c r="O100" s="32" t="s">
        <v>310</v>
      </c>
      <c r="P100" s="32" t="s">
        <v>182</v>
      </c>
      <c r="Q100" s="32" t="s">
        <v>436</v>
      </c>
      <c r="R100" s="117" t="s">
        <v>212</v>
      </c>
      <c r="S100" s="32" t="s">
        <v>396</v>
      </c>
      <c r="T100" s="32" t="s">
        <v>582</v>
      </c>
    </row>
    <row r="101" spans="1:20" x14ac:dyDescent="0.25">
      <c r="A101" s="4" t="str">
        <f t="shared" si="1"/>
        <v>14STL DIA HR</v>
      </c>
      <c r="B101" s="56"/>
      <c r="C101" s="39"/>
      <c r="D101" s="53" t="s">
        <v>255</v>
      </c>
      <c r="E101" s="53" t="s">
        <v>496</v>
      </c>
      <c r="F101" s="12" t="s">
        <v>230</v>
      </c>
      <c r="G101" s="81">
        <v>7.0000000000000007E-2</v>
      </c>
      <c r="H101" s="120">
        <v>7.0040000000000005E-2</v>
      </c>
      <c r="I101" s="12" t="s">
        <v>417</v>
      </c>
      <c r="J101" s="12" t="s">
        <v>4</v>
      </c>
      <c r="K101" s="12" t="s">
        <v>108</v>
      </c>
      <c r="L101" s="53" t="s">
        <v>511</v>
      </c>
      <c r="M101" s="12" t="s">
        <v>616</v>
      </c>
      <c r="N101" s="119" t="s">
        <v>417</v>
      </c>
      <c r="O101" s="67" t="s">
        <v>346</v>
      </c>
      <c r="P101" s="67" t="s">
        <v>182</v>
      </c>
      <c r="Q101" s="12" t="s">
        <v>436</v>
      </c>
      <c r="R101" s="58" t="s">
        <v>601</v>
      </c>
      <c r="S101" s="12" t="s">
        <v>396</v>
      </c>
      <c r="T101" s="12" t="s">
        <v>582</v>
      </c>
    </row>
    <row r="102" spans="1:20" x14ac:dyDescent="0.25">
      <c r="A102" s="4" t="str">
        <f t="shared" si="1"/>
        <v>10STL DIA HR</v>
      </c>
      <c r="B102" s="56"/>
      <c r="C102" s="39"/>
      <c r="D102" s="53" t="s">
        <v>255</v>
      </c>
      <c r="E102" s="53" t="s">
        <v>494</v>
      </c>
      <c r="F102" s="12" t="s">
        <v>484</v>
      </c>
      <c r="G102" s="81">
        <v>0.126</v>
      </c>
      <c r="H102" s="120">
        <v>0.12603</v>
      </c>
      <c r="I102" s="12" t="s">
        <v>417</v>
      </c>
      <c r="J102" s="12" t="s">
        <v>4</v>
      </c>
      <c r="K102" s="12" t="s">
        <v>437</v>
      </c>
      <c r="L102" s="53" t="s">
        <v>109</v>
      </c>
      <c r="M102" s="12" t="s">
        <v>616</v>
      </c>
      <c r="N102" s="119" t="s">
        <v>417</v>
      </c>
      <c r="O102" s="67" t="s">
        <v>41</v>
      </c>
      <c r="P102" s="67" t="s">
        <v>182</v>
      </c>
      <c r="Q102" s="12" t="s">
        <v>436</v>
      </c>
      <c r="R102" s="58" t="s">
        <v>602</v>
      </c>
      <c r="S102" s="12" t="s">
        <v>396</v>
      </c>
      <c r="T102" s="12" t="s">
        <v>582</v>
      </c>
    </row>
    <row r="103" spans="1:20" x14ac:dyDescent="0.25">
      <c r="A103" s="4" t="str">
        <f t="shared" si="1"/>
        <v>7STL DIA HR</v>
      </c>
      <c r="B103" s="56"/>
      <c r="C103" s="39"/>
      <c r="D103" s="53" t="s">
        <v>255</v>
      </c>
      <c r="E103" s="53" t="s">
        <v>158</v>
      </c>
      <c r="F103" s="12" t="s">
        <v>62</v>
      </c>
      <c r="G103" s="81">
        <v>0.188</v>
      </c>
      <c r="H103" s="120">
        <v>0.18801000000000001</v>
      </c>
      <c r="I103" s="12" t="s">
        <v>417</v>
      </c>
      <c r="J103" s="12" t="s">
        <v>4</v>
      </c>
      <c r="K103" s="12" t="s">
        <v>30</v>
      </c>
      <c r="L103" s="53" t="s">
        <v>325</v>
      </c>
      <c r="M103" s="12" t="s">
        <v>616</v>
      </c>
      <c r="N103" s="119" t="s">
        <v>417</v>
      </c>
      <c r="O103" s="67" t="s">
        <v>346</v>
      </c>
      <c r="P103" s="67" t="s">
        <v>182</v>
      </c>
      <c r="Q103" s="12" t="s">
        <v>436</v>
      </c>
      <c r="R103" s="58" t="s">
        <v>326</v>
      </c>
      <c r="S103" s="12" t="s">
        <v>396</v>
      </c>
      <c r="T103" s="12" t="s">
        <v>582</v>
      </c>
    </row>
    <row r="104" spans="1:20" x14ac:dyDescent="0.25">
      <c r="A104" s="68" t="str">
        <f>CONCATENATE(G104,Q104)</f>
        <v>0.063ALM DIA</v>
      </c>
      <c r="B104" s="88"/>
      <c r="C104" s="79"/>
      <c r="D104" s="110" t="s">
        <v>327</v>
      </c>
      <c r="E104" s="110" t="s">
        <v>191</v>
      </c>
      <c r="F104" s="41" t="s">
        <v>497</v>
      </c>
      <c r="G104" s="266">
        <v>6.3E-2</v>
      </c>
      <c r="H104" s="103">
        <v>6.3E-2</v>
      </c>
      <c r="I104" s="41" t="s">
        <v>417</v>
      </c>
      <c r="J104" s="41" t="s">
        <v>4</v>
      </c>
      <c r="K104" s="145" t="s">
        <v>297</v>
      </c>
      <c r="L104" s="250" t="s">
        <v>86</v>
      </c>
      <c r="M104" s="41" t="s">
        <v>50</v>
      </c>
      <c r="N104" s="169" t="s">
        <v>417</v>
      </c>
      <c r="O104" s="109" t="s">
        <v>222</v>
      </c>
      <c r="P104" s="109" t="s">
        <v>182</v>
      </c>
      <c r="Q104" s="41" t="s">
        <v>213</v>
      </c>
      <c r="R104" s="41" t="s">
        <v>122</v>
      </c>
      <c r="S104" s="41" t="s">
        <v>396</v>
      </c>
      <c r="T104" s="41" t="s">
        <v>582</v>
      </c>
    </row>
    <row r="105" spans="1:20" x14ac:dyDescent="0.25">
      <c r="A105" s="4" t="str">
        <f>CONCATENATE(E105,Q105)</f>
        <v>11ALM DIA</v>
      </c>
      <c r="B105" s="56"/>
      <c r="C105" s="39"/>
      <c r="D105" s="53" t="s">
        <v>327</v>
      </c>
      <c r="E105" s="53" t="s">
        <v>11</v>
      </c>
      <c r="F105" s="12" t="s">
        <v>633</v>
      </c>
      <c r="G105" s="81">
        <v>0.1</v>
      </c>
      <c r="H105" s="120">
        <v>0.10001</v>
      </c>
      <c r="I105" s="12" t="s">
        <v>417</v>
      </c>
      <c r="J105" s="12" t="s">
        <v>4</v>
      </c>
      <c r="K105" s="127" t="s">
        <v>397</v>
      </c>
      <c r="L105" s="175" t="s">
        <v>512</v>
      </c>
      <c r="M105" s="12" t="s">
        <v>50</v>
      </c>
      <c r="N105" s="119" t="s">
        <v>417</v>
      </c>
      <c r="O105" s="67" t="s">
        <v>349</v>
      </c>
      <c r="P105" s="67" t="s">
        <v>182</v>
      </c>
      <c r="Q105" s="12" t="s">
        <v>213</v>
      </c>
      <c r="R105" s="12" t="s">
        <v>565</v>
      </c>
      <c r="S105" s="12" t="s">
        <v>396</v>
      </c>
      <c r="T105" s="12" t="s">
        <v>582</v>
      </c>
    </row>
    <row r="106" spans="1:20" x14ac:dyDescent="0.25">
      <c r="A106" s="4" t="str">
        <f t="shared" ref="A106:A114" si="2">CONCATENATE(G106,Q106)</f>
        <v>0.125ALM DIA</v>
      </c>
      <c r="B106" s="56"/>
      <c r="C106" s="39"/>
      <c r="D106" s="53" t="s">
        <v>327</v>
      </c>
      <c r="E106" s="53" t="s">
        <v>24</v>
      </c>
      <c r="F106" s="12" t="s">
        <v>484</v>
      </c>
      <c r="G106" s="81">
        <v>0.125</v>
      </c>
      <c r="H106" s="120">
        <v>0.12503</v>
      </c>
      <c r="I106" s="12" t="s">
        <v>415</v>
      </c>
      <c r="J106" s="12" t="s">
        <v>4</v>
      </c>
      <c r="K106" s="12" t="s">
        <v>289</v>
      </c>
      <c r="L106" s="175" t="s">
        <v>110</v>
      </c>
      <c r="M106" s="12" t="s">
        <v>50</v>
      </c>
      <c r="N106" s="119" t="s">
        <v>417</v>
      </c>
      <c r="O106" s="67" t="s">
        <v>535</v>
      </c>
      <c r="P106" s="67" t="s">
        <v>182</v>
      </c>
      <c r="Q106" s="12" t="s">
        <v>213</v>
      </c>
      <c r="R106" s="58" t="s">
        <v>398</v>
      </c>
      <c r="S106" s="12" t="s">
        <v>396</v>
      </c>
      <c r="T106" s="12" t="s">
        <v>582</v>
      </c>
    </row>
    <row r="107" spans="1:20" x14ac:dyDescent="0.25">
      <c r="A107" s="4" t="str">
        <f t="shared" si="2"/>
        <v>0.188ALM DIA</v>
      </c>
      <c r="B107" s="56"/>
      <c r="C107" s="39"/>
      <c r="D107" s="53" t="s">
        <v>327</v>
      </c>
      <c r="E107" s="53" t="s">
        <v>612</v>
      </c>
      <c r="F107" s="12" t="s">
        <v>62</v>
      </c>
      <c r="G107" s="81">
        <v>0.188</v>
      </c>
      <c r="H107" s="120">
        <v>0.18801999999999999</v>
      </c>
      <c r="I107" s="12" t="s">
        <v>417</v>
      </c>
      <c r="J107" s="12" t="s">
        <v>4</v>
      </c>
      <c r="K107" s="127" t="s">
        <v>476</v>
      </c>
      <c r="L107" s="175" t="s">
        <v>159</v>
      </c>
      <c r="M107" s="12" t="s">
        <v>50</v>
      </c>
      <c r="N107" s="119" t="s">
        <v>417</v>
      </c>
      <c r="O107" s="67" t="s">
        <v>349</v>
      </c>
      <c r="P107" s="67" t="s">
        <v>182</v>
      </c>
      <c r="Q107" s="12" t="s">
        <v>213</v>
      </c>
      <c r="R107" s="12" t="s">
        <v>603</v>
      </c>
      <c r="S107" s="12" t="s">
        <v>396</v>
      </c>
      <c r="T107" s="12" t="s">
        <v>582</v>
      </c>
    </row>
    <row r="108" spans="1:20" x14ac:dyDescent="0.25">
      <c r="A108" s="4" t="str">
        <f t="shared" si="2"/>
        <v>0.125ALMB DIA</v>
      </c>
      <c r="B108" s="56"/>
      <c r="C108" s="39"/>
      <c r="D108" s="53" t="s">
        <v>327</v>
      </c>
      <c r="E108" s="53" t="s">
        <v>24</v>
      </c>
      <c r="F108" s="12" t="s">
        <v>484</v>
      </c>
      <c r="G108" s="269">
        <v>0.125</v>
      </c>
      <c r="H108" s="120">
        <v>0.12504000000000001</v>
      </c>
      <c r="I108" s="12" t="s">
        <v>417</v>
      </c>
      <c r="J108" s="12" t="s">
        <v>4</v>
      </c>
      <c r="K108" s="12" t="s">
        <v>111</v>
      </c>
      <c r="L108" s="53" t="s">
        <v>77</v>
      </c>
      <c r="M108" s="12" t="s">
        <v>50</v>
      </c>
      <c r="N108" s="119" t="s">
        <v>417</v>
      </c>
      <c r="O108" s="67" t="s">
        <v>349</v>
      </c>
      <c r="P108" s="67" t="s">
        <v>182</v>
      </c>
      <c r="Q108" s="12" t="s">
        <v>399</v>
      </c>
      <c r="R108" s="12" t="s">
        <v>604</v>
      </c>
      <c r="S108" s="12" t="s">
        <v>396</v>
      </c>
      <c r="T108" s="12" t="s">
        <v>582</v>
      </c>
    </row>
    <row r="109" spans="1:20" x14ac:dyDescent="0.25">
      <c r="A109" s="4" t="str">
        <f t="shared" si="2"/>
        <v>0.188ALMB DIA</v>
      </c>
      <c r="B109" s="56"/>
      <c r="C109" s="39"/>
      <c r="D109" s="53" t="s">
        <v>327</v>
      </c>
      <c r="E109" s="53" t="s">
        <v>612</v>
      </c>
      <c r="F109" s="12" t="s">
        <v>62</v>
      </c>
      <c r="G109" s="269">
        <v>0.188</v>
      </c>
      <c r="H109" s="120">
        <v>0.18804000000000001</v>
      </c>
      <c r="I109" s="12" t="s">
        <v>417</v>
      </c>
      <c r="J109" s="12" t="s">
        <v>4</v>
      </c>
      <c r="K109" s="12" t="s">
        <v>290</v>
      </c>
      <c r="L109" s="53" t="s">
        <v>634</v>
      </c>
      <c r="M109" s="12" t="s">
        <v>50</v>
      </c>
      <c r="N109" s="119" t="s">
        <v>417</v>
      </c>
      <c r="O109" s="67" t="s">
        <v>349</v>
      </c>
      <c r="P109" s="67" t="s">
        <v>182</v>
      </c>
      <c r="Q109" s="12" t="s">
        <v>399</v>
      </c>
      <c r="R109" s="12" t="s">
        <v>112</v>
      </c>
      <c r="S109" s="12" t="s">
        <v>396</v>
      </c>
      <c r="T109" s="12" t="s">
        <v>582</v>
      </c>
    </row>
    <row r="110" spans="1:20" x14ac:dyDescent="0.25">
      <c r="A110" s="4" t="str">
        <f t="shared" si="2"/>
        <v>0.25ALMB DIA</v>
      </c>
      <c r="B110" s="56"/>
      <c r="C110" s="39"/>
      <c r="D110" s="53" t="s">
        <v>327</v>
      </c>
      <c r="E110" s="53" t="s">
        <v>19</v>
      </c>
      <c r="F110" s="12" t="s">
        <v>214</v>
      </c>
      <c r="G110" s="81">
        <v>0.25</v>
      </c>
      <c r="H110" s="120">
        <v>0.25002999999999997</v>
      </c>
      <c r="I110" s="12" t="s">
        <v>417</v>
      </c>
      <c r="J110" s="12" t="s">
        <v>4</v>
      </c>
      <c r="K110" s="12" t="s">
        <v>438</v>
      </c>
      <c r="L110" s="53" t="s">
        <v>400</v>
      </c>
      <c r="M110" s="12" t="s">
        <v>50</v>
      </c>
      <c r="N110" s="119" t="s">
        <v>417</v>
      </c>
      <c r="O110" s="67" t="s">
        <v>349</v>
      </c>
      <c r="P110" s="67" t="s">
        <v>182</v>
      </c>
      <c r="Q110" s="12" t="s">
        <v>399</v>
      </c>
      <c r="R110" s="12" t="s">
        <v>368</v>
      </c>
      <c r="S110" s="12" t="s">
        <v>396</v>
      </c>
      <c r="T110" s="12" t="s">
        <v>582</v>
      </c>
    </row>
    <row r="111" spans="1:20" x14ac:dyDescent="0.25">
      <c r="A111" s="4" t="str">
        <f t="shared" si="2"/>
        <v>0.125SST304D</v>
      </c>
      <c r="B111" s="56"/>
      <c r="C111" s="39"/>
      <c r="D111" s="53" t="s">
        <v>256</v>
      </c>
      <c r="E111" s="205" t="s">
        <v>24</v>
      </c>
      <c r="F111" s="231" t="s">
        <v>484</v>
      </c>
      <c r="G111" s="203">
        <v>0.125</v>
      </c>
      <c r="H111" s="140">
        <v>0.12501999999999999</v>
      </c>
      <c r="I111" s="58" t="s">
        <v>417</v>
      </c>
      <c r="J111" s="12" t="s">
        <v>4</v>
      </c>
      <c r="K111" s="12" t="s">
        <v>513</v>
      </c>
      <c r="L111" s="53" t="s">
        <v>78</v>
      </c>
      <c r="M111" s="12">
        <v>304</v>
      </c>
      <c r="N111" s="119" t="s">
        <v>422</v>
      </c>
      <c r="O111" s="67" t="s">
        <v>346</v>
      </c>
      <c r="P111" s="67" t="s">
        <v>182</v>
      </c>
      <c r="Q111" s="12" t="s">
        <v>605</v>
      </c>
      <c r="R111" s="58" t="s">
        <v>369</v>
      </c>
      <c r="S111" s="58" t="s">
        <v>396</v>
      </c>
      <c r="T111" s="12" t="s">
        <v>582</v>
      </c>
    </row>
    <row r="112" spans="1:20" ht="15.75" thickBot="1" x14ac:dyDescent="0.3">
      <c r="A112" s="4" t="str">
        <f t="shared" si="2"/>
        <v>0.188SST304D</v>
      </c>
      <c r="B112" s="56"/>
      <c r="C112" s="39"/>
      <c r="D112" s="111" t="s">
        <v>256</v>
      </c>
      <c r="E112" s="144" t="s">
        <v>612</v>
      </c>
      <c r="F112" s="147" t="s">
        <v>62</v>
      </c>
      <c r="G112" s="222">
        <v>0.188</v>
      </c>
      <c r="H112" s="217">
        <v>0.18804999999999999</v>
      </c>
      <c r="I112" s="74" t="s">
        <v>417</v>
      </c>
      <c r="J112" s="50" t="s">
        <v>4</v>
      </c>
      <c r="K112" s="50" t="s">
        <v>79</v>
      </c>
      <c r="L112" s="111" t="s">
        <v>291</v>
      </c>
      <c r="M112" s="50">
        <v>304</v>
      </c>
      <c r="N112" s="199" t="s">
        <v>422</v>
      </c>
      <c r="O112" s="255" t="s">
        <v>346</v>
      </c>
      <c r="P112" s="50" t="s">
        <v>182</v>
      </c>
      <c r="Q112" s="50" t="s">
        <v>605</v>
      </c>
      <c r="R112" s="74" t="s">
        <v>514</v>
      </c>
      <c r="S112" s="74" t="s">
        <v>396</v>
      </c>
      <c r="T112" s="50" t="s">
        <v>582</v>
      </c>
    </row>
    <row r="113" spans="1:20" ht="16.5" thickTop="1" thickBot="1" x14ac:dyDescent="0.3">
      <c r="A113" s="43" t="str">
        <f t="shared" si="2"/>
        <v/>
      </c>
      <c r="B113" s="56"/>
      <c r="C113" s="52"/>
      <c r="D113" s="15"/>
      <c r="E113" s="15"/>
      <c r="F113" s="15"/>
      <c r="G113" s="116"/>
      <c r="H113" s="15"/>
      <c r="I113" s="15"/>
      <c r="J113" s="15"/>
      <c r="K113" s="15"/>
      <c r="L113" s="15"/>
      <c r="M113" s="20"/>
      <c r="N113" s="20"/>
      <c r="O113" s="20"/>
      <c r="P113" s="20"/>
      <c r="Q113" s="20"/>
      <c r="R113" s="20"/>
      <c r="S113" s="20"/>
      <c r="T113" s="95"/>
    </row>
    <row r="114" spans="1:20" ht="17.25" thickTop="1" thickBot="1" x14ac:dyDescent="0.3">
      <c r="A114" s="55" t="str">
        <f t="shared" si="2"/>
        <v/>
      </c>
      <c r="B114" s="56"/>
      <c r="C114" s="65" t="s">
        <v>292</v>
      </c>
      <c r="D114" s="17"/>
      <c r="E114" s="17"/>
      <c r="F114" s="17"/>
      <c r="G114" s="102"/>
      <c r="H114" s="17"/>
      <c r="I114" s="17"/>
      <c r="J114" s="17"/>
      <c r="K114" s="17"/>
      <c r="L114" s="17"/>
      <c r="M114" s="16"/>
      <c r="N114" s="16"/>
      <c r="O114" s="16"/>
      <c r="P114" s="16"/>
      <c r="Q114" s="16"/>
      <c r="R114" s="16"/>
      <c r="S114" s="16"/>
      <c r="T114" s="16"/>
    </row>
    <row r="115" spans="1:20" ht="16.5" thickTop="1" thickBot="1" x14ac:dyDescent="0.3">
      <c r="A115" s="70" t="str">
        <f>CONCATENATE(E115,Q115)</f>
        <v>20GALV CORA</v>
      </c>
      <c r="B115" s="56"/>
      <c r="C115" s="39"/>
      <c r="D115" s="76" t="s">
        <v>257</v>
      </c>
      <c r="E115" s="76">
        <v>20</v>
      </c>
      <c r="F115" s="36" t="s">
        <v>486</v>
      </c>
      <c r="G115" s="244">
        <v>3.4000000000000002E-2</v>
      </c>
      <c r="H115" s="183">
        <v>3.4029999999999998E-2</v>
      </c>
      <c r="I115" s="36" t="s">
        <v>415</v>
      </c>
      <c r="J115" s="36" t="s">
        <v>417</v>
      </c>
      <c r="K115" s="226" t="s">
        <v>160</v>
      </c>
      <c r="L115" s="76" t="s">
        <v>258</v>
      </c>
      <c r="M115" s="36" t="s">
        <v>416</v>
      </c>
      <c r="N115" s="70" t="s">
        <v>417</v>
      </c>
      <c r="O115" s="36" t="s">
        <v>566</v>
      </c>
      <c r="P115" s="36" t="s">
        <v>182</v>
      </c>
      <c r="Q115" s="36" t="s">
        <v>401</v>
      </c>
      <c r="R115" s="70" t="s">
        <v>161</v>
      </c>
      <c r="S115" s="36" t="s">
        <v>477</v>
      </c>
      <c r="T115" s="36" t="s">
        <v>582</v>
      </c>
    </row>
    <row r="116" spans="1:20" ht="16.5" thickTop="1" thickBot="1" x14ac:dyDescent="0.3">
      <c r="A116" s="43" t="str">
        <f t="shared" ref="A116:A117" si="3">CONCATENATE(G116,Q116)</f>
        <v/>
      </c>
      <c r="B116" s="56"/>
      <c r="C116" s="52"/>
      <c r="D116" s="15"/>
      <c r="E116" s="15"/>
      <c r="F116" s="15"/>
      <c r="G116" s="116"/>
      <c r="H116" s="15"/>
      <c r="I116" s="15"/>
      <c r="J116" s="15"/>
      <c r="K116" s="15"/>
      <c r="L116" s="15"/>
      <c r="M116" s="20"/>
      <c r="N116" s="20"/>
      <c r="O116" s="20"/>
      <c r="P116" s="20"/>
      <c r="Q116" s="20"/>
      <c r="R116" s="20"/>
      <c r="S116" s="20"/>
      <c r="T116" s="95"/>
    </row>
    <row r="117" spans="1:20" ht="17.25" thickTop="1" thickBot="1" x14ac:dyDescent="0.3">
      <c r="A117" s="55" t="str">
        <f t="shared" si="3"/>
        <v/>
      </c>
      <c r="B117" s="56"/>
      <c r="C117" s="65" t="s">
        <v>515</v>
      </c>
      <c r="D117" s="17"/>
      <c r="E117" s="17"/>
      <c r="F117" s="17"/>
      <c r="G117" s="102"/>
      <c r="H117" s="17"/>
      <c r="I117" s="17"/>
      <c r="J117" s="17"/>
      <c r="K117" s="17"/>
      <c r="L117" s="17"/>
      <c r="M117" s="16"/>
      <c r="N117" s="16"/>
      <c r="O117" s="16"/>
      <c r="P117" s="16"/>
      <c r="Q117" s="16"/>
      <c r="R117" s="16"/>
      <c r="S117" s="16"/>
      <c r="T117" s="16"/>
    </row>
    <row r="118" spans="1:20" ht="15.75" thickTop="1" x14ac:dyDescent="0.25">
      <c r="A118" s="43" t="str">
        <f t="shared" ref="A118:A132" si="4">CONCATENATE(E118,Q118)</f>
        <v>7SST304</v>
      </c>
      <c r="B118" s="56"/>
      <c r="C118" s="39"/>
      <c r="D118" s="118" t="s">
        <v>516</v>
      </c>
      <c r="E118" s="118" t="s">
        <v>158</v>
      </c>
      <c r="F118" s="47" t="s">
        <v>62</v>
      </c>
      <c r="G118" s="233">
        <v>0.188</v>
      </c>
      <c r="H118" s="225">
        <v>0.18803</v>
      </c>
      <c r="I118" s="47" t="s">
        <v>417</v>
      </c>
      <c r="J118" s="47" t="s">
        <v>4</v>
      </c>
      <c r="K118" s="260" t="s">
        <v>439</v>
      </c>
      <c r="L118" s="162" t="s">
        <v>517</v>
      </c>
      <c r="M118" s="47" t="s">
        <v>501</v>
      </c>
      <c r="N118" s="180" t="s">
        <v>422</v>
      </c>
      <c r="O118" s="47" t="s">
        <v>535</v>
      </c>
      <c r="P118" s="47" t="s">
        <v>182</v>
      </c>
      <c r="Q118" s="47" t="s">
        <v>543</v>
      </c>
      <c r="R118" s="85" t="s">
        <v>402</v>
      </c>
      <c r="S118" s="85" t="s">
        <v>582</v>
      </c>
      <c r="T118" s="85" t="s">
        <v>582</v>
      </c>
    </row>
    <row r="119" spans="1:20" x14ac:dyDescent="0.25">
      <c r="A119" s="43" t="str">
        <f t="shared" si="4"/>
        <v>3SST304</v>
      </c>
      <c r="B119" s="56"/>
      <c r="C119" s="39"/>
      <c r="D119" s="37" t="s">
        <v>516</v>
      </c>
      <c r="E119" s="37" t="s">
        <v>171</v>
      </c>
      <c r="F119" s="10" t="s">
        <v>214</v>
      </c>
      <c r="G119" s="63">
        <v>0.25</v>
      </c>
      <c r="H119" s="90">
        <v>0.25002000000000002</v>
      </c>
      <c r="I119" s="10" t="s">
        <v>417</v>
      </c>
      <c r="J119" s="10" t="s">
        <v>4</v>
      </c>
      <c r="K119" s="206" t="s">
        <v>567</v>
      </c>
      <c r="L119" s="271" t="s">
        <v>568</v>
      </c>
      <c r="M119" s="10" t="s">
        <v>501</v>
      </c>
      <c r="N119" s="223" t="s">
        <v>422</v>
      </c>
      <c r="O119" s="57" t="s">
        <v>535</v>
      </c>
      <c r="P119" s="57" t="s">
        <v>182</v>
      </c>
      <c r="Q119" s="10" t="s">
        <v>543</v>
      </c>
      <c r="R119" s="51" t="s">
        <v>635</v>
      </c>
      <c r="S119" s="51" t="s">
        <v>582</v>
      </c>
      <c r="T119" s="51" t="s">
        <v>582</v>
      </c>
    </row>
    <row r="120" spans="1:20" x14ac:dyDescent="0.25">
      <c r="A120" s="43" t="str">
        <f t="shared" si="4"/>
        <v>7SST304L</v>
      </c>
      <c r="B120" s="56"/>
      <c r="C120" s="39"/>
      <c r="D120" s="37" t="s">
        <v>516</v>
      </c>
      <c r="E120" s="37" t="s">
        <v>158</v>
      </c>
      <c r="F120" s="10" t="s">
        <v>62</v>
      </c>
      <c r="G120" s="63">
        <v>0.188</v>
      </c>
      <c r="H120" s="90">
        <v>0.18808</v>
      </c>
      <c r="I120" s="10" t="s">
        <v>417</v>
      </c>
      <c r="J120" s="10" t="s">
        <v>4</v>
      </c>
      <c r="K120" s="157" t="s">
        <v>335</v>
      </c>
      <c r="L120" s="209" t="s">
        <v>87</v>
      </c>
      <c r="M120" s="10" t="s">
        <v>240</v>
      </c>
      <c r="N120" s="223" t="s">
        <v>88</v>
      </c>
      <c r="O120" s="57" t="s">
        <v>535</v>
      </c>
      <c r="P120" s="57" t="s">
        <v>182</v>
      </c>
      <c r="Q120" s="10" t="s">
        <v>619</v>
      </c>
      <c r="R120" s="51" t="s">
        <v>527</v>
      </c>
      <c r="S120" s="51" t="s">
        <v>582</v>
      </c>
      <c r="T120" s="51" t="s">
        <v>582</v>
      </c>
    </row>
    <row r="121" spans="1:20" x14ac:dyDescent="0.25">
      <c r="A121" s="43" t="str">
        <f t="shared" si="4"/>
        <v>3SST304L</v>
      </c>
      <c r="B121" s="56"/>
      <c r="C121" s="39"/>
      <c r="D121" s="37" t="s">
        <v>516</v>
      </c>
      <c r="E121" s="37" t="s">
        <v>171</v>
      </c>
      <c r="F121" s="10" t="s">
        <v>214</v>
      </c>
      <c r="G121" s="63">
        <v>0.25</v>
      </c>
      <c r="H121" s="90">
        <v>0.25004999999999999</v>
      </c>
      <c r="I121" s="10" t="s">
        <v>417</v>
      </c>
      <c r="J121" s="10" t="s">
        <v>4</v>
      </c>
      <c r="K121" s="157" t="s">
        <v>480</v>
      </c>
      <c r="L121" s="209" t="s">
        <v>575</v>
      </c>
      <c r="M121" s="10" t="s">
        <v>240</v>
      </c>
      <c r="N121" s="223" t="s">
        <v>88</v>
      </c>
      <c r="O121" s="57" t="s">
        <v>535</v>
      </c>
      <c r="P121" s="57" t="s">
        <v>182</v>
      </c>
      <c r="Q121" s="10" t="s">
        <v>619</v>
      </c>
      <c r="R121" s="51" t="s">
        <v>635</v>
      </c>
      <c r="S121" s="51" t="s">
        <v>582</v>
      </c>
      <c r="T121" s="51" t="s">
        <v>582</v>
      </c>
    </row>
    <row r="122" spans="1:20" x14ac:dyDescent="0.25">
      <c r="A122" s="43" t="str">
        <f t="shared" si="4"/>
        <v>7SST316L</v>
      </c>
      <c r="B122" s="56"/>
      <c r="C122" s="39"/>
      <c r="D122" s="7" t="s">
        <v>516</v>
      </c>
      <c r="E122" s="7" t="s">
        <v>158</v>
      </c>
      <c r="F122" s="1" t="s">
        <v>62</v>
      </c>
      <c r="G122" s="30">
        <v>0.188</v>
      </c>
      <c r="H122" s="27">
        <v>0.18811</v>
      </c>
      <c r="I122" s="1" t="s">
        <v>417</v>
      </c>
      <c r="J122" s="1" t="s">
        <v>4</v>
      </c>
      <c r="K122" s="262" t="s">
        <v>33</v>
      </c>
      <c r="L122" s="165" t="s">
        <v>644</v>
      </c>
      <c r="M122" s="1" t="s">
        <v>242</v>
      </c>
      <c r="N122" s="82" t="s">
        <v>88</v>
      </c>
      <c r="O122" s="3" t="s">
        <v>535</v>
      </c>
      <c r="P122" s="3" t="s">
        <v>182</v>
      </c>
      <c r="Q122" s="1" t="s">
        <v>620</v>
      </c>
      <c r="R122" s="4" t="s">
        <v>34</v>
      </c>
      <c r="S122" s="4" t="s">
        <v>582</v>
      </c>
      <c r="T122" s="4" t="s">
        <v>582</v>
      </c>
    </row>
    <row r="123" spans="1:20" x14ac:dyDescent="0.25">
      <c r="A123" s="43" t="str">
        <f t="shared" si="4"/>
        <v>7STL PLATE</v>
      </c>
      <c r="B123" s="56"/>
      <c r="C123" s="39"/>
      <c r="D123" s="114" t="s">
        <v>259</v>
      </c>
      <c r="E123" s="37" t="s">
        <v>158</v>
      </c>
      <c r="F123" s="10" t="s">
        <v>62</v>
      </c>
      <c r="G123" s="125">
        <v>0.188</v>
      </c>
      <c r="H123" s="240">
        <v>0.18806</v>
      </c>
      <c r="I123" s="10" t="s">
        <v>417</v>
      </c>
      <c r="J123" s="10" t="s">
        <v>4</v>
      </c>
      <c r="K123" s="139" t="s">
        <v>518</v>
      </c>
      <c r="L123" s="114" t="s">
        <v>162</v>
      </c>
      <c r="M123" s="10" t="s">
        <v>569</v>
      </c>
      <c r="N123" s="10" t="s">
        <v>417</v>
      </c>
      <c r="O123" s="10" t="s">
        <v>630</v>
      </c>
      <c r="P123" s="10" t="s">
        <v>182</v>
      </c>
      <c r="Q123" s="10" t="s">
        <v>113</v>
      </c>
      <c r="R123" s="1" t="s">
        <v>409</v>
      </c>
      <c r="S123" s="10" t="s">
        <v>582</v>
      </c>
      <c r="T123" s="10" t="s">
        <v>582</v>
      </c>
    </row>
    <row r="124" spans="1:20" x14ac:dyDescent="0.25">
      <c r="A124" s="43" t="str">
        <f t="shared" si="4"/>
        <v>3STL PLATE</v>
      </c>
      <c r="B124" s="56"/>
      <c r="C124" s="39"/>
      <c r="D124" s="114" t="s">
        <v>259</v>
      </c>
      <c r="E124" s="37" t="s">
        <v>171</v>
      </c>
      <c r="F124" s="10" t="s">
        <v>214</v>
      </c>
      <c r="G124" s="63">
        <v>0.25</v>
      </c>
      <c r="H124" s="240">
        <v>0.25001000000000001</v>
      </c>
      <c r="I124" s="10" t="s">
        <v>417</v>
      </c>
      <c r="J124" s="10" t="s">
        <v>4</v>
      </c>
      <c r="K124" s="139" t="s">
        <v>606</v>
      </c>
      <c r="L124" s="114" t="s">
        <v>328</v>
      </c>
      <c r="M124" s="10" t="s">
        <v>569</v>
      </c>
      <c r="N124" s="10" t="s">
        <v>417</v>
      </c>
      <c r="O124" s="10" t="s">
        <v>630</v>
      </c>
      <c r="P124" s="10" t="s">
        <v>182</v>
      </c>
      <c r="Q124" s="10" t="s">
        <v>113</v>
      </c>
      <c r="R124" s="1" t="s">
        <v>645</v>
      </c>
      <c r="S124" s="10" t="s">
        <v>582</v>
      </c>
      <c r="T124" s="10" t="s">
        <v>582</v>
      </c>
    </row>
    <row r="125" spans="1:20" x14ac:dyDescent="0.25">
      <c r="A125" s="43" t="str">
        <f t="shared" si="4"/>
        <v>0STL PLATE</v>
      </c>
      <c r="B125" s="56"/>
      <c r="C125" s="39"/>
      <c r="D125" s="37" t="s">
        <v>259</v>
      </c>
      <c r="E125" s="37" t="s">
        <v>298</v>
      </c>
      <c r="F125" s="10" t="s">
        <v>329</v>
      </c>
      <c r="G125" s="63">
        <v>0.313</v>
      </c>
      <c r="H125" s="90">
        <v>0.31301000000000001</v>
      </c>
      <c r="I125" s="10" t="s">
        <v>417</v>
      </c>
      <c r="J125" s="10" t="s">
        <v>4</v>
      </c>
      <c r="K125" s="232" t="s">
        <v>114</v>
      </c>
      <c r="L125" s="37" t="s">
        <v>403</v>
      </c>
      <c r="M125" s="10" t="s">
        <v>569</v>
      </c>
      <c r="N125" s="10" t="s">
        <v>417</v>
      </c>
      <c r="O125" s="57" t="s">
        <v>636</v>
      </c>
      <c r="P125" s="57" t="s">
        <v>182</v>
      </c>
      <c r="Q125" s="10" t="s">
        <v>113</v>
      </c>
      <c r="R125" s="1" t="s">
        <v>123</v>
      </c>
      <c r="S125" s="10" t="s">
        <v>582</v>
      </c>
      <c r="T125" s="10" t="s">
        <v>582</v>
      </c>
    </row>
    <row r="126" spans="1:20" x14ac:dyDescent="0.25">
      <c r="A126" s="43" t="str">
        <f t="shared" si="4"/>
        <v>000STL PLATE</v>
      </c>
      <c r="B126" s="56"/>
      <c r="C126" s="39"/>
      <c r="D126" s="37" t="s">
        <v>259</v>
      </c>
      <c r="E126" s="37" t="s">
        <v>224</v>
      </c>
      <c r="F126" s="10" t="s">
        <v>404</v>
      </c>
      <c r="G126" s="125">
        <v>0.375</v>
      </c>
      <c r="H126" s="90">
        <v>0.37501000000000001</v>
      </c>
      <c r="I126" s="10" t="s">
        <v>417</v>
      </c>
      <c r="J126" s="10" t="s">
        <v>4</v>
      </c>
      <c r="K126" s="232" t="s">
        <v>163</v>
      </c>
      <c r="L126" s="37" t="s">
        <v>80</v>
      </c>
      <c r="M126" s="10" t="s">
        <v>569</v>
      </c>
      <c r="N126" s="10" t="s">
        <v>417</v>
      </c>
      <c r="O126" s="57" t="s">
        <v>630</v>
      </c>
      <c r="P126" s="57" t="s">
        <v>182</v>
      </c>
      <c r="Q126" s="10" t="s">
        <v>113</v>
      </c>
      <c r="R126" s="1" t="s">
        <v>448</v>
      </c>
      <c r="S126" s="10" t="s">
        <v>582</v>
      </c>
      <c r="T126" s="10" t="s">
        <v>582</v>
      </c>
    </row>
    <row r="127" spans="1:20" x14ac:dyDescent="0.25">
      <c r="A127" s="43" t="str">
        <f t="shared" si="4"/>
        <v>0000000STL PLATE</v>
      </c>
      <c r="B127" s="56"/>
      <c r="C127" s="39"/>
      <c r="D127" s="37" t="s">
        <v>259</v>
      </c>
      <c r="E127" s="172" t="s">
        <v>410</v>
      </c>
      <c r="F127" s="10" t="s">
        <v>637</v>
      </c>
      <c r="G127" s="63">
        <v>0.5</v>
      </c>
      <c r="H127" s="90">
        <v>0.5</v>
      </c>
      <c r="I127" s="10" t="s">
        <v>417</v>
      </c>
      <c r="J127" s="10" t="s">
        <v>4</v>
      </c>
      <c r="K127" s="232" t="s">
        <v>440</v>
      </c>
      <c r="L127" s="37" t="s">
        <v>260</v>
      </c>
      <c r="M127" s="10" t="s">
        <v>569</v>
      </c>
      <c r="N127" s="10" t="s">
        <v>417</v>
      </c>
      <c r="O127" s="10" t="s">
        <v>630</v>
      </c>
      <c r="P127" s="10" t="s">
        <v>182</v>
      </c>
      <c r="Q127" s="10" t="s">
        <v>113</v>
      </c>
      <c r="R127" s="1" t="s">
        <v>172</v>
      </c>
      <c r="S127" s="10" t="s">
        <v>582</v>
      </c>
      <c r="T127" s="10" t="s">
        <v>582</v>
      </c>
    </row>
    <row r="128" spans="1:20" x14ac:dyDescent="0.25">
      <c r="A128" s="43" t="str">
        <f t="shared" si="4"/>
        <v>7STL STRUCT HR</v>
      </c>
      <c r="B128" s="56"/>
      <c r="C128" s="39"/>
      <c r="D128" s="37" t="s">
        <v>646</v>
      </c>
      <c r="E128" s="172" t="s">
        <v>158</v>
      </c>
      <c r="F128" s="10" t="s">
        <v>62</v>
      </c>
      <c r="G128" s="63">
        <v>0.188</v>
      </c>
      <c r="H128" s="90">
        <v>0.18806999999999999</v>
      </c>
      <c r="I128" s="10" t="s">
        <v>417</v>
      </c>
      <c r="J128" s="10" t="s">
        <v>4</v>
      </c>
      <c r="K128" s="232" t="s">
        <v>647</v>
      </c>
      <c r="L128" s="37" t="s">
        <v>449</v>
      </c>
      <c r="M128" s="10" t="s">
        <v>616</v>
      </c>
      <c r="N128" s="10" t="s">
        <v>610</v>
      </c>
      <c r="O128" s="10" t="s">
        <v>124</v>
      </c>
      <c r="P128" s="57" t="s">
        <v>182</v>
      </c>
      <c r="Q128" s="10" t="s">
        <v>524</v>
      </c>
      <c r="R128" s="1" t="s">
        <v>125</v>
      </c>
      <c r="S128" s="10" t="s">
        <v>609</v>
      </c>
      <c r="T128" s="10" t="s">
        <v>582</v>
      </c>
    </row>
    <row r="129" spans="1:20" x14ac:dyDescent="0.25">
      <c r="A129" s="43" t="str">
        <f t="shared" si="4"/>
        <v>3STL STRUCT HR</v>
      </c>
      <c r="B129" s="56"/>
      <c r="C129" s="39"/>
      <c r="D129" s="37" t="s">
        <v>646</v>
      </c>
      <c r="E129" s="172" t="s">
        <v>171</v>
      </c>
      <c r="F129" s="10" t="s">
        <v>214</v>
      </c>
      <c r="G129" s="63">
        <v>0.25</v>
      </c>
      <c r="H129" s="90">
        <v>0.25003999999999998</v>
      </c>
      <c r="I129" s="10" t="s">
        <v>417</v>
      </c>
      <c r="J129" s="10" t="s">
        <v>4</v>
      </c>
      <c r="K129" s="232" t="s">
        <v>173</v>
      </c>
      <c r="L129" s="37" t="s">
        <v>450</v>
      </c>
      <c r="M129" s="10" t="s">
        <v>35</v>
      </c>
      <c r="N129" s="10" t="s">
        <v>610</v>
      </c>
      <c r="O129" s="10" t="s">
        <v>124</v>
      </c>
      <c r="P129" s="57" t="s">
        <v>182</v>
      </c>
      <c r="Q129" s="10" t="s">
        <v>524</v>
      </c>
      <c r="R129" s="1" t="s">
        <v>336</v>
      </c>
      <c r="S129" s="10" t="s">
        <v>609</v>
      </c>
      <c r="T129" s="10" t="s">
        <v>582</v>
      </c>
    </row>
    <row r="130" spans="1:20" x14ac:dyDescent="0.25">
      <c r="A130" s="43" t="str">
        <f t="shared" si="4"/>
        <v>7ALM PLATE</v>
      </c>
      <c r="B130" s="56"/>
      <c r="C130" s="39"/>
      <c r="D130" s="37" t="s">
        <v>411</v>
      </c>
      <c r="E130" s="172" t="s">
        <v>158</v>
      </c>
      <c r="F130" s="10" t="s">
        <v>62</v>
      </c>
      <c r="G130" s="63">
        <v>0.188</v>
      </c>
      <c r="H130" s="90">
        <v>0.18809000000000001</v>
      </c>
      <c r="I130" s="10" t="s">
        <v>417</v>
      </c>
      <c r="J130" s="10" t="s">
        <v>4</v>
      </c>
      <c r="K130" s="232" t="s">
        <v>648</v>
      </c>
      <c r="L130" s="37" t="s">
        <v>412</v>
      </c>
      <c r="M130" s="10" t="s">
        <v>50</v>
      </c>
      <c r="N130" s="10" t="s">
        <v>576</v>
      </c>
      <c r="O130" s="10" t="s">
        <v>124</v>
      </c>
      <c r="P130" s="57" t="s">
        <v>182</v>
      </c>
      <c r="Q130" s="10" t="s">
        <v>126</v>
      </c>
      <c r="R130" s="1" t="s">
        <v>127</v>
      </c>
      <c r="S130" s="10" t="s">
        <v>582</v>
      </c>
      <c r="T130" s="10" t="s">
        <v>582</v>
      </c>
    </row>
    <row r="131" spans="1:20" x14ac:dyDescent="0.25">
      <c r="A131" s="43" t="str">
        <f t="shared" si="4"/>
        <v>3ALM PLATE</v>
      </c>
      <c r="B131" s="56"/>
      <c r="C131" s="39"/>
      <c r="D131" s="105" t="s">
        <v>411</v>
      </c>
      <c r="E131" s="184" t="s">
        <v>171</v>
      </c>
      <c r="F131" s="34" t="s">
        <v>214</v>
      </c>
      <c r="G131" s="190">
        <v>0.25</v>
      </c>
      <c r="H131" s="179">
        <v>0.25006</v>
      </c>
      <c r="I131" s="34" t="s">
        <v>417</v>
      </c>
      <c r="J131" s="34" t="s">
        <v>4</v>
      </c>
      <c r="K131" s="256" t="s">
        <v>174</v>
      </c>
      <c r="L131" s="105" t="s">
        <v>611</v>
      </c>
      <c r="M131" s="34" t="s">
        <v>50</v>
      </c>
      <c r="N131" s="34" t="s">
        <v>576</v>
      </c>
      <c r="O131" s="34" t="s">
        <v>124</v>
      </c>
      <c r="P131" s="163" t="s">
        <v>182</v>
      </c>
      <c r="Q131" s="34" t="s">
        <v>126</v>
      </c>
      <c r="R131" s="252" t="s">
        <v>337</v>
      </c>
      <c r="S131" s="34" t="s">
        <v>582</v>
      </c>
      <c r="T131" s="34" t="s">
        <v>582</v>
      </c>
    </row>
    <row r="132" spans="1:20" x14ac:dyDescent="0.25">
      <c r="A132" s="43" t="str">
        <f t="shared" si="4"/>
        <v>7STRUCT GALV</v>
      </c>
      <c r="B132" s="56"/>
      <c r="C132" s="54"/>
      <c r="D132" s="37" t="s">
        <v>338</v>
      </c>
      <c r="E132" s="37" t="s">
        <v>158</v>
      </c>
      <c r="F132" s="10" t="s">
        <v>62</v>
      </c>
      <c r="G132" s="63">
        <v>0.188</v>
      </c>
      <c r="H132" s="90">
        <v>0.18809999999999999</v>
      </c>
      <c r="I132" s="10" t="s">
        <v>417</v>
      </c>
      <c r="J132" s="10" t="s">
        <v>4</v>
      </c>
      <c r="K132" s="191" t="s">
        <v>299</v>
      </c>
      <c r="L132" s="37" t="s">
        <v>225</v>
      </c>
      <c r="M132" s="10" t="s">
        <v>416</v>
      </c>
      <c r="N132" s="166" t="s">
        <v>610</v>
      </c>
      <c r="O132" s="10" t="s">
        <v>124</v>
      </c>
      <c r="P132" s="10" t="s">
        <v>182</v>
      </c>
      <c r="Q132" s="10" t="s">
        <v>314</v>
      </c>
      <c r="R132" s="51" t="s">
        <v>36</v>
      </c>
      <c r="S132" s="51" t="s">
        <v>582</v>
      </c>
      <c r="T132" s="51" t="s">
        <v>582</v>
      </c>
    </row>
    <row r="133" spans="1:20" ht="15.75" thickBot="1" x14ac:dyDescent="0.3">
      <c r="B133" s="56"/>
      <c r="C133" s="52"/>
      <c r="D133" s="18"/>
      <c r="E133" s="18"/>
      <c r="F133" s="18"/>
      <c r="G133" s="182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 ht="15.75" thickTop="1" x14ac:dyDescent="0.25">
      <c r="B134" s="56"/>
      <c r="C134" s="39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B135" s="56"/>
      <c r="C135" s="267"/>
      <c r="D135" s="249" t="s">
        <v>577</v>
      </c>
      <c r="E135" s="2"/>
      <c r="F135" s="26"/>
      <c r="G135" s="26"/>
      <c r="H135" s="93"/>
      <c r="I135" s="26"/>
      <c r="J135" s="26"/>
      <c r="K135" s="26"/>
      <c r="L135" s="31"/>
      <c r="M135" s="31"/>
      <c r="N135" s="31"/>
      <c r="O135" s="31"/>
      <c r="P135" s="26"/>
      <c r="Q135" s="31"/>
      <c r="R135" s="31"/>
      <c r="S135" s="31"/>
      <c r="T135" s="31"/>
    </row>
    <row r="136" spans="1:20" x14ac:dyDescent="0.25">
      <c r="B136" s="56"/>
      <c r="C136" s="131"/>
      <c r="D136" s="33" t="s">
        <v>300</v>
      </c>
      <c r="E136" s="2"/>
      <c r="F136" s="46"/>
      <c r="G136" s="46"/>
      <c r="H136" s="235"/>
      <c r="I136" s="46"/>
      <c r="J136" s="46"/>
      <c r="K136" s="46"/>
      <c r="L136" s="33"/>
      <c r="M136" s="33"/>
      <c r="N136" s="33"/>
      <c r="O136" s="33"/>
      <c r="P136" s="46"/>
      <c r="Q136" s="33"/>
      <c r="R136" s="33"/>
      <c r="S136" s="33"/>
      <c r="T136" s="33"/>
    </row>
    <row r="137" spans="1:20" x14ac:dyDescent="0.25">
      <c r="B137" s="56"/>
      <c r="C137" s="158"/>
      <c r="D137" s="2" t="s">
        <v>578</v>
      </c>
      <c r="E137" s="2"/>
      <c r="F137" s="46"/>
      <c r="G137" s="46"/>
      <c r="H137" s="235"/>
      <c r="I137" s="46"/>
      <c r="J137" s="46"/>
      <c r="K137" s="46"/>
      <c r="L137" s="33"/>
      <c r="M137" s="33"/>
      <c r="N137" s="33"/>
      <c r="O137" s="33"/>
      <c r="P137" s="46"/>
      <c r="Q137" s="33"/>
      <c r="R137" s="33"/>
      <c r="S137" s="33"/>
      <c r="T137" s="33"/>
    </row>
    <row r="138" spans="1:20" x14ac:dyDescent="0.25">
      <c r="B138" s="56"/>
      <c r="C138" s="131"/>
      <c r="D138" s="33" t="s">
        <v>226</v>
      </c>
      <c r="E138" s="2"/>
      <c r="F138" s="46"/>
      <c r="G138" s="46"/>
      <c r="H138" s="235"/>
      <c r="I138" s="46"/>
      <c r="J138" s="46"/>
      <c r="K138" s="46"/>
      <c r="L138" s="33"/>
      <c r="M138" s="33"/>
      <c r="N138" s="33"/>
      <c r="O138" s="33"/>
      <c r="P138" s="46"/>
      <c r="Q138" s="33"/>
      <c r="R138" s="33"/>
      <c r="S138" s="33"/>
      <c r="T138" s="33"/>
    </row>
    <row r="139" spans="1:20" x14ac:dyDescent="0.25">
      <c r="B139" s="56"/>
      <c r="C139" s="131"/>
      <c r="D139" s="31" t="s">
        <v>37</v>
      </c>
      <c r="E139" s="2"/>
      <c r="F139" s="26"/>
      <c r="G139" s="26"/>
      <c r="H139" s="93"/>
      <c r="I139" s="26"/>
      <c r="J139" s="26"/>
      <c r="K139" s="26"/>
      <c r="L139" s="31"/>
      <c r="M139" s="33"/>
      <c r="N139" s="33"/>
      <c r="O139" s="33"/>
      <c r="P139" s="46"/>
      <c r="Q139" s="33"/>
      <c r="R139" s="33"/>
      <c r="S139" s="33"/>
      <c r="T139" s="33"/>
    </row>
    <row r="140" spans="1:20" ht="15.75" thickBot="1" x14ac:dyDescent="0.3">
      <c r="B140" s="224"/>
      <c r="C140" s="274"/>
      <c r="D140" s="153"/>
      <c r="E140" s="9"/>
      <c r="F140" s="11"/>
      <c r="G140" s="11"/>
      <c r="H140" s="253"/>
      <c r="I140" s="11"/>
      <c r="J140" s="11"/>
      <c r="K140" s="11"/>
      <c r="L140" s="9"/>
      <c r="M140" s="9"/>
      <c r="N140" s="9"/>
      <c r="O140" s="9"/>
      <c r="P140" s="11"/>
      <c r="Q140" s="9"/>
      <c r="R140" s="9"/>
      <c r="S140" s="9"/>
      <c r="T140" s="9"/>
    </row>
    <row r="141" spans="1:20" ht="15.75" thickTop="1" x14ac:dyDescent="0.25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zoomScale="85" workbookViewId="0">
      <selection activeCell="A4" sqref="A4"/>
    </sheetView>
  </sheetViews>
  <sheetFormatPr defaultRowHeight="12.75" x14ac:dyDescent="0.2"/>
  <cols>
    <col min="1" max="1" width="9.140625" style="96"/>
    <col min="2" max="2" width="10.140625" style="96" bestFit="1" customWidth="1"/>
    <col min="3" max="3" width="60.140625" style="96" bestFit="1" customWidth="1"/>
    <col min="4" max="4" width="14.85546875" style="96" bestFit="1" customWidth="1"/>
    <col min="5" max="5" width="12.42578125" style="96" bestFit="1" customWidth="1"/>
    <col min="6" max="257" width="9.140625" style="96"/>
    <col min="258" max="258" width="10.140625" style="96" bestFit="1" customWidth="1"/>
    <col min="259" max="259" width="60.140625" style="96" bestFit="1" customWidth="1"/>
    <col min="260" max="260" width="14.85546875" style="96" bestFit="1" customWidth="1"/>
    <col min="261" max="261" width="12.42578125" style="96" bestFit="1" customWidth="1"/>
    <col min="262" max="513" width="9.140625" style="96"/>
    <col min="514" max="514" width="10.140625" style="96" bestFit="1" customWidth="1"/>
    <col min="515" max="515" width="60.140625" style="96" bestFit="1" customWidth="1"/>
    <col min="516" max="516" width="14.85546875" style="96" bestFit="1" customWidth="1"/>
    <col min="517" max="517" width="12.42578125" style="96" bestFit="1" customWidth="1"/>
    <col min="518" max="769" width="9.140625" style="96"/>
    <col min="770" max="770" width="10.140625" style="96" bestFit="1" customWidth="1"/>
    <col min="771" max="771" width="60.140625" style="96" bestFit="1" customWidth="1"/>
    <col min="772" max="772" width="14.85546875" style="96" bestFit="1" customWidth="1"/>
    <col min="773" max="773" width="12.42578125" style="96" bestFit="1" customWidth="1"/>
    <col min="774" max="1025" width="9.140625" style="96"/>
    <col min="1026" max="1026" width="10.140625" style="96" bestFit="1" customWidth="1"/>
    <col min="1027" max="1027" width="60.140625" style="96" bestFit="1" customWidth="1"/>
    <col min="1028" max="1028" width="14.85546875" style="96" bestFit="1" customWidth="1"/>
    <col min="1029" max="1029" width="12.42578125" style="96" bestFit="1" customWidth="1"/>
    <col min="1030" max="1281" width="9.140625" style="96"/>
    <col min="1282" max="1282" width="10.140625" style="96" bestFit="1" customWidth="1"/>
    <col min="1283" max="1283" width="60.140625" style="96" bestFit="1" customWidth="1"/>
    <col min="1284" max="1284" width="14.85546875" style="96" bestFit="1" customWidth="1"/>
    <col min="1285" max="1285" width="12.42578125" style="96" bestFit="1" customWidth="1"/>
    <col min="1286" max="1537" width="9.140625" style="96"/>
    <col min="1538" max="1538" width="10.140625" style="96" bestFit="1" customWidth="1"/>
    <col min="1539" max="1539" width="60.140625" style="96" bestFit="1" customWidth="1"/>
    <col min="1540" max="1540" width="14.85546875" style="96" bestFit="1" customWidth="1"/>
    <col min="1541" max="1541" width="12.42578125" style="96" bestFit="1" customWidth="1"/>
    <col min="1542" max="1793" width="9.140625" style="96"/>
    <col min="1794" max="1794" width="10.140625" style="96" bestFit="1" customWidth="1"/>
    <col min="1795" max="1795" width="60.140625" style="96" bestFit="1" customWidth="1"/>
    <col min="1796" max="1796" width="14.85546875" style="96" bestFit="1" customWidth="1"/>
    <col min="1797" max="1797" width="12.42578125" style="96" bestFit="1" customWidth="1"/>
    <col min="1798" max="2049" width="9.140625" style="96"/>
    <col min="2050" max="2050" width="10.140625" style="96" bestFit="1" customWidth="1"/>
    <col min="2051" max="2051" width="60.140625" style="96" bestFit="1" customWidth="1"/>
    <col min="2052" max="2052" width="14.85546875" style="96" bestFit="1" customWidth="1"/>
    <col min="2053" max="2053" width="12.42578125" style="96" bestFit="1" customWidth="1"/>
    <col min="2054" max="2305" width="9.140625" style="96"/>
    <col min="2306" max="2306" width="10.140625" style="96" bestFit="1" customWidth="1"/>
    <col min="2307" max="2307" width="60.140625" style="96" bestFit="1" customWidth="1"/>
    <col min="2308" max="2308" width="14.85546875" style="96" bestFit="1" customWidth="1"/>
    <col min="2309" max="2309" width="12.42578125" style="96" bestFit="1" customWidth="1"/>
    <col min="2310" max="2561" width="9.140625" style="96"/>
    <col min="2562" max="2562" width="10.140625" style="96" bestFit="1" customWidth="1"/>
    <col min="2563" max="2563" width="60.140625" style="96" bestFit="1" customWidth="1"/>
    <col min="2564" max="2564" width="14.85546875" style="96" bestFit="1" customWidth="1"/>
    <col min="2565" max="2565" width="12.42578125" style="96" bestFit="1" customWidth="1"/>
    <col min="2566" max="2817" width="9.140625" style="96"/>
    <col min="2818" max="2818" width="10.140625" style="96" bestFit="1" customWidth="1"/>
    <col min="2819" max="2819" width="60.140625" style="96" bestFit="1" customWidth="1"/>
    <col min="2820" max="2820" width="14.85546875" style="96" bestFit="1" customWidth="1"/>
    <col min="2821" max="2821" width="12.42578125" style="96" bestFit="1" customWidth="1"/>
    <col min="2822" max="3073" width="9.140625" style="96"/>
    <col min="3074" max="3074" width="10.140625" style="96" bestFit="1" customWidth="1"/>
    <col min="3075" max="3075" width="60.140625" style="96" bestFit="1" customWidth="1"/>
    <col min="3076" max="3076" width="14.85546875" style="96" bestFit="1" customWidth="1"/>
    <col min="3077" max="3077" width="12.42578125" style="96" bestFit="1" customWidth="1"/>
    <col min="3078" max="3329" width="9.140625" style="96"/>
    <col min="3330" max="3330" width="10.140625" style="96" bestFit="1" customWidth="1"/>
    <col min="3331" max="3331" width="60.140625" style="96" bestFit="1" customWidth="1"/>
    <col min="3332" max="3332" width="14.85546875" style="96" bestFit="1" customWidth="1"/>
    <col min="3333" max="3333" width="12.42578125" style="96" bestFit="1" customWidth="1"/>
    <col min="3334" max="3585" width="9.140625" style="96"/>
    <col min="3586" max="3586" width="10.140625" style="96" bestFit="1" customWidth="1"/>
    <col min="3587" max="3587" width="60.140625" style="96" bestFit="1" customWidth="1"/>
    <col min="3588" max="3588" width="14.85546875" style="96" bestFit="1" customWidth="1"/>
    <col min="3589" max="3589" width="12.42578125" style="96" bestFit="1" customWidth="1"/>
    <col min="3590" max="3841" width="9.140625" style="96"/>
    <col min="3842" max="3842" width="10.140625" style="96" bestFit="1" customWidth="1"/>
    <col min="3843" max="3843" width="60.140625" style="96" bestFit="1" customWidth="1"/>
    <col min="3844" max="3844" width="14.85546875" style="96" bestFit="1" customWidth="1"/>
    <col min="3845" max="3845" width="12.42578125" style="96" bestFit="1" customWidth="1"/>
    <col min="3846" max="4097" width="9.140625" style="96"/>
    <col min="4098" max="4098" width="10.140625" style="96" bestFit="1" customWidth="1"/>
    <col min="4099" max="4099" width="60.140625" style="96" bestFit="1" customWidth="1"/>
    <col min="4100" max="4100" width="14.85546875" style="96" bestFit="1" customWidth="1"/>
    <col min="4101" max="4101" width="12.42578125" style="96" bestFit="1" customWidth="1"/>
    <col min="4102" max="4353" width="9.140625" style="96"/>
    <col min="4354" max="4354" width="10.140625" style="96" bestFit="1" customWidth="1"/>
    <col min="4355" max="4355" width="60.140625" style="96" bestFit="1" customWidth="1"/>
    <col min="4356" max="4356" width="14.85546875" style="96" bestFit="1" customWidth="1"/>
    <col min="4357" max="4357" width="12.42578125" style="96" bestFit="1" customWidth="1"/>
    <col min="4358" max="4609" width="9.140625" style="96"/>
    <col min="4610" max="4610" width="10.140625" style="96" bestFit="1" customWidth="1"/>
    <col min="4611" max="4611" width="60.140625" style="96" bestFit="1" customWidth="1"/>
    <col min="4612" max="4612" width="14.85546875" style="96" bestFit="1" customWidth="1"/>
    <col min="4613" max="4613" width="12.42578125" style="96" bestFit="1" customWidth="1"/>
    <col min="4614" max="4865" width="9.140625" style="96"/>
    <col min="4866" max="4866" width="10.140625" style="96" bestFit="1" customWidth="1"/>
    <col min="4867" max="4867" width="60.140625" style="96" bestFit="1" customWidth="1"/>
    <col min="4868" max="4868" width="14.85546875" style="96" bestFit="1" customWidth="1"/>
    <col min="4869" max="4869" width="12.42578125" style="96" bestFit="1" customWidth="1"/>
    <col min="4870" max="5121" width="9.140625" style="96"/>
    <col min="5122" max="5122" width="10.140625" style="96" bestFit="1" customWidth="1"/>
    <col min="5123" max="5123" width="60.140625" style="96" bestFit="1" customWidth="1"/>
    <col min="5124" max="5124" width="14.85546875" style="96" bestFit="1" customWidth="1"/>
    <col min="5125" max="5125" width="12.42578125" style="96" bestFit="1" customWidth="1"/>
    <col min="5126" max="5377" width="9.140625" style="96"/>
    <col min="5378" max="5378" width="10.140625" style="96" bestFit="1" customWidth="1"/>
    <col min="5379" max="5379" width="60.140625" style="96" bestFit="1" customWidth="1"/>
    <col min="5380" max="5380" width="14.85546875" style="96" bestFit="1" customWidth="1"/>
    <col min="5381" max="5381" width="12.42578125" style="96" bestFit="1" customWidth="1"/>
    <col min="5382" max="5633" width="9.140625" style="96"/>
    <col min="5634" max="5634" width="10.140625" style="96" bestFit="1" customWidth="1"/>
    <col min="5635" max="5635" width="60.140625" style="96" bestFit="1" customWidth="1"/>
    <col min="5636" max="5636" width="14.85546875" style="96" bestFit="1" customWidth="1"/>
    <col min="5637" max="5637" width="12.42578125" style="96" bestFit="1" customWidth="1"/>
    <col min="5638" max="5889" width="9.140625" style="96"/>
    <col min="5890" max="5890" width="10.140625" style="96" bestFit="1" customWidth="1"/>
    <col min="5891" max="5891" width="60.140625" style="96" bestFit="1" customWidth="1"/>
    <col min="5892" max="5892" width="14.85546875" style="96" bestFit="1" customWidth="1"/>
    <col min="5893" max="5893" width="12.42578125" style="96" bestFit="1" customWidth="1"/>
    <col min="5894" max="6145" width="9.140625" style="96"/>
    <col min="6146" max="6146" width="10.140625" style="96" bestFit="1" customWidth="1"/>
    <col min="6147" max="6147" width="60.140625" style="96" bestFit="1" customWidth="1"/>
    <col min="6148" max="6148" width="14.85546875" style="96" bestFit="1" customWidth="1"/>
    <col min="6149" max="6149" width="12.42578125" style="96" bestFit="1" customWidth="1"/>
    <col min="6150" max="6401" width="9.140625" style="96"/>
    <col min="6402" max="6402" width="10.140625" style="96" bestFit="1" customWidth="1"/>
    <col min="6403" max="6403" width="60.140625" style="96" bestFit="1" customWidth="1"/>
    <col min="6404" max="6404" width="14.85546875" style="96" bestFit="1" customWidth="1"/>
    <col min="6405" max="6405" width="12.42578125" style="96" bestFit="1" customWidth="1"/>
    <col min="6406" max="6657" width="9.140625" style="96"/>
    <col min="6658" max="6658" width="10.140625" style="96" bestFit="1" customWidth="1"/>
    <col min="6659" max="6659" width="60.140625" style="96" bestFit="1" customWidth="1"/>
    <col min="6660" max="6660" width="14.85546875" style="96" bestFit="1" customWidth="1"/>
    <col min="6661" max="6661" width="12.42578125" style="96" bestFit="1" customWidth="1"/>
    <col min="6662" max="6913" width="9.140625" style="96"/>
    <col min="6914" max="6914" width="10.140625" style="96" bestFit="1" customWidth="1"/>
    <col min="6915" max="6915" width="60.140625" style="96" bestFit="1" customWidth="1"/>
    <col min="6916" max="6916" width="14.85546875" style="96" bestFit="1" customWidth="1"/>
    <col min="6917" max="6917" width="12.42578125" style="96" bestFit="1" customWidth="1"/>
    <col min="6918" max="7169" width="9.140625" style="96"/>
    <col min="7170" max="7170" width="10.140625" style="96" bestFit="1" customWidth="1"/>
    <col min="7171" max="7171" width="60.140625" style="96" bestFit="1" customWidth="1"/>
    <col min="7172" max="7172" width="14.85546875" style="96" bestFit="1" customWidth="1"/>
    <col min="7173" max="7173" width="12.42578125" style="96" bestFit="1" customWidth="1"/>
    <col min="7174" max="7425" width="9.140625" style="96"/>
    <col min="7426" max="7426" width="10.140625" style="96" bestFit="1" customWidth="1"/>
    <col min="7427" max="7427" width="60.140625" style="96" bestFit="1" customWidth="1"/>
    <col min="7428" max="7428" width="14.85546875" style="96" bestFit="1" customWidth="1"/>
    <col min="7429" max="7429" width="12.42578125" style="96" bestFit="1" customWidth="1"/>
    <col min="7430" max="7681" width="9.140625" style="96"/>
    <col min="7682" max="7682" width="10.140625" style="96" bestFit="1" customWidth="1"/>
    <col min="7683" max="7683" width="60.140625" style="96" bestFit="1" customWidth="1"/>
    <col min="7684" max="7684" width="14.85546875" style="96" bestFit="1" customWidth="1"/>
    <col min="7685" max="7685" width="12.42578125" style="96" bestFit="1" customWidth="1"/>
    <col min="7686" max="7937" width="9.140625" style="96"/>
    <col min="7938" max="7938" width="10.140625" style="96" bestFit="1" customWidth="1"/>
    <col min="7939" max="7939" width="60.140625" style="96" bestFit="1" customWidth="1"/>
    <col min="7940" max="7940" width="14.85546875" style="96" bestFit="1" customWidth="1"/>
    <col min="7941" max="7941" width="12.42578125" style="96" bestFit="1" customWidth="1"/>
    <col min="7942" max="8193" width="9.140625" style="96"/>
    <col min="8194" max="8194" width="10.140625" style="96" bestFit="1" customWidth="1"/>
    <col min="8195" max="8195" width="60.140625" style="96" bestFit="1" customWidth="1"/>
    <col min="8196" max="8196" width="14.85546875" style="96" bestFit="1" customWidth="1"/>
    <col min="8197" max="8197" width="12.42578125" style="96" bestFit="1" customWidth="1"/>
    <col min="8198" max="8449" width="9.140625" style="96"/>
    <col min="8450" max="8450" width="10.140625" style="96" bestFit="1" customWidth="1"/>
    <col min="8451" max="8451" width="60.140625" style="96" bestFit="1" customWidth="1"/>
    <col min="8452" max="8452" width="14.85546875" style="96" bestFit="1" customWidth="1"/>
    <col min="8453" max="8453" width="12.42578125" style="96" bestFit="1" customWidth="1"/>
    <col min="8454" max="8705" width="9.140625" style="96"/>
    <col min="8706" max="8706" width="10.140625" style="96" bestFit="1" customWidth="1"/>
    <col min="8707" max="8707" width="60.140625" style="96" bestFit="1" customWidth="1"/>
    <col min="8708" max="8708" width="14.85546875" style="96" bestFit="1" customWidth="1"/>
    <col min="8709" max="8709" width="12.42578125" style="96" bestFit="1" customWidth="1"/>
    <col min="8710" max="8961" width="9.140625" style="96"/>
    <col min="8962" max="8962" width="10.140625" style="96" bestFit="1" customWidth="1"/>
    <col min="8963" max="8963" width="60.140625" style="96" bestFit="1" customWidth="1"/>
    <col min="8964" max="8964" width="14.85546875" style="96" bestFit="1" customWidth="1"/>
    <col min="8965" max="8965" width="12.42578125" style="96" bestFit="1" customWidth="1"/>
    <col min="8966" max="9217" width="9.140625" style="96"/>
    <col min="9218" max="9218" width="10.140625" style="96" bestFit="1" customWidth="1"/>
    <col min="9219" max="9219" width="60.140625" style="96" bestFit="1" customWidth="1"/>
    <col min="9220" max="9220" width="14.85546875" style="96" bestFit="1" customWidth="1"/>
    <col min="9221" max="9221" width="12.42578125" style="96" bestFit="1" customWidth="1"/>
    <col min="9222" max="9473" width="9.140625" style="96"/>
    <col min="9474" max="9474" width="10.140625" style="96" bestFit="1" customWidth="1"/>
    <col min="9475" max="9475" width="60.140625" style="96" bestFit="1" customWidth="1"/>
    <col min="9476" max="9476" width="14.85546875" style="96" bestFit="1" customWidth="1"/>
    <col min="9477" max="9477" width="12.42578125" style="96" bestFit="1" customWidth="1"/>
    <col min="9478" max="9729" width="9.140625" style="96"/>
    <col min="9730" max="9730" width="10.140625" style="96" bestFit="1" customWidth="1"/>
    <col min="9731" max="9731" width="60.140625" style="96" bestFit="1" customWidth="1"/>
    <col min="9732" max="9732" width="14.85546875" style="96" bestFit="1" customWidth="1"/>
    <col min="9733" max="9733" width="12.42578125" style="96" bestFit="1" customWidth="1"/>
    <col min="9734" max="9985" width="9.140625" style="96"/>
    <col min="9986" max="9986" width="10.140625" style="96" bestFit="1" customWidth="1"/>
    <col min="9987" max="9987" width="60.140625" style="96" bestFit="1" customWidth="1"/>
    <col min="9988" max="9988" width="14.85546875" style="96" bestFit="1" customWidth="1"/>
    <col min="9989" max="9989" width="12.42578125" style="96" bestFit="1" customWidth="1"/>
    <col min="9990" max="10241" width="9.140625" style="96"/>
    <col min="10242" max="10242" width="10.140625" style="96" bestFit="1" customWidth="1"/>
    <col min="10243" max="10243" width="60.140625" style="96" bestFit="1" customWidth="1"/>
    <col min="10244" max="10244" width="14.85546875" style="96" bestFit="1" customWidth="1"/>
    <col min="10245" max="10245" width="12.42578125" style="96" bestFit="1" customWidth="1"/>
    <col min="10246" max="10497" width="9.140625" style="96"/>
    <col min="10498" max="10498" width="10.140625" style="96" bestFit="1" customWidth="1"/>
    <col min="10499" max="10499" width="60.140625" style="96" bestFit="1" customWidth="1"/>
    <col min="10500" max="10500" width="14.85546875" style="96" bestFit="1" customWidth="1"/>
    <col min="10501" max="10501" width="12.42578125" style="96" bestFit="1" customWidth="1"/>
    <col min="10502" max="10753" width="9.140625" style="96"/>
    <col min="10754" max="10754" width="10.140625" style="96" bestFit="1" customWidth="1"/>
    <col min="10755" max="10755" width="60.140625" style="96" bestFit="1" customWidth="1"/>
    <col min="10756" max="10756" width="14.85546875" style="96" bestFit="1" customWidth="1"/>
    <col min="10757" max="10757" width="12.42578125" style="96" bestFit="1" customWidth="1"/>
    <col min="10758" max="11009" width="9.140625" style="96"/>
    <col min="11010" max="11010" width="10.140625" style="96" bestFit="1" customWidth="1"/>
    <col min="11011" max="11011" width="60.140625" style="96" bestFit="1" customWidth="1"/>
    <col min="11012" max="11012" width="14.85546875" style="96" bestFit="1" customWidth="1"/>
    <col min="11013" max="11013" width="12.42578125" style="96" bestFit="1" customWidth="1"/>
    <col min="11014" max="11265" width="9.140625" style="96"/>
    <col min="11266" max="11266" width="10.140625" style="96" bestFit="1" customWidth="1"/>
    <col min="11267" max="11267" width="60.140625" style="96" bestFit="1" customWidth="1"/>
    <col min="11268" max="11268" width="14.85546875" style="96" bestFit="1" customWidth="1"/>
    <col min="11269" max="11269" width="12.42578125" style="96" bestFit="1" customWidth="1"/>
    <col min="11270" max="11521" width="9.140625" style="96"/>
    <col min="11522" max="11522" width="10.140625" style="96" bestFit="1" customWidth="1"/>
    <col min="11523" max="11523" width="60.140625" style="96" bestFit="1" customWidth="1"/>
    <col min="11524" max="11524" width="14.85546875" style="96" bestFit="1" customWidth="1"/>
    <col min="11525" max="11525" width="12.42578125" style="96" bestFit="1" customWidth="1"/>
    <col min="11526" max="11777" width="9.140625" style="96"/>
    <col min="11778" max="11778" width="10.140625" style="96" bestFit="1" customWidth="1"/>
    <col min="11779" max="11779" width="60.140625" style="96" bestFit="1" customWidth="1"/>
    <col min="11780" max="11780" width="14.85546875" style="96" bestFit="1" customWidth="1"/>
    <col min="11781" max="11781" width="12.42578125" style="96" bestFit="1" customWidth="1"/>
    <col min="11782" max="12033" width="9.140625" style="96"/>
    <col min="12034" max="12034" width="10.140625" style="96" bestFit="1" customWidth="1"/>
    <col min="12035" max="12035" width="60.140625" style="96" bestFit="1" customWidth="1"/>
    <col min="12036" max="12036" width="14.85546875" style="96" bestFit="1" customWidth="1"/>
    <col min="12037" max="12037" width="12.42578125" style="96" bestFit="1" customWidth="1"/>
    <col min="12038" max="12289" width="9.140625" style="96"/>
    <col min="12290" max="12290" width="10.140625" style="96" bestFit="1" customWidth="1"/>
    <col min="12291" max="12291" width="60.140625" style="96" bestFit="1" customWidth="1"/>
    <col min="12292" max="12292" width="14.85546875" style="96" bestFit="1" customWidth="1"/>
    <col min="12293" max="12293" width="12.42578125" style="96" bestFit="1" customWidth="1"/>
    <col min="12294" max="12545" width="9.140625" style="96"/>
    <col min="12546" max="12546" width="10.140625" style="96" bestFit="1" customWidth="1"/>
    <col min="12547" max="12547" width="60.140625" style="96" bestFit="1" customWidth="1"/>
    <col min="12548" max="12548" width="14.85546875" style="96" bestFit="1" customWidth="1"/>
    <col min="12549" max="12549" width="12.42578125" style="96" bestFit="1" customWidth="1"/>
    <col min="12550" max="12801" width="9.140625" style="96"/>
    <col min="12802" max="12802" width="10.140625" style="96" bestFit="1" customWidth="1"/>
    <col min="12803" max="12803" width="60.140625" style="96" bestFit="1" customWidth="1"/>
    <col min="12804" max="12804" width="14.85546875" style="96" bestFit="1" customWidth="1"/>
    <col min="12805" max="12805" width="12.42578125" style="96" bestFit="1" customWidth="1"/>
    <col min="12806" max="13057" width="9.140625" style="96"/>
    <col min="13058" max="13058" width="10.140625" style="96" bestFit="1" customWidth="1"/>
    <col min="13059" max="13059" width="60.140625" style="96" bestFit="1" customWidth="1"/>
    <col min="13060" max="13060" width="14.85546875" style="96" bestFit="1" customWidth="1"/>
    <col min="13061" max="13061" width="12.42578125" style="96" bestFit="1" customWidth="1"/>
    <col min="13062" max="13313" width="9.140625" style="96"/>
    <col min="13314" max="13314" width="10.140625" style="96" bestFit="1" customWidth="1"/>
    <col min="13315" max="13315" width="60.140625" style="96" bestFit="1" customWidth="1"/>
    <col min="13316" max="13316" width="14.85546875" style="96" bestFit="1" customWidth="1"/>
    <col min="13317" max="13317" width="12.42578125" style="96" bestFit="1" customWidth="1"/>
    <col min="13318" max="13569" width="9.140625" style="96"/>
    <col min="13570" max="13570" width="10.140625" style="96" bestFit="1" customWidth="1"/>
    <col min="13571" max="13571" width="60.140625" style="96" bestFit="1" customWidth="1"/>
    <col min="13572" max="13572" width="14.85546875" style="96" bestFit="1" customWidth="1"/>
    <col min="13573" max="13573" width="12.42578125" style="96" bestFit="1" customWidth="1"/>
    <col min="13574" max="13825" width="9.140625" style="96"/>
    <col min="13826" max="13826" width="10.140625" style="96" bestFit="1" customWidth="1"/>
    <col min="13827" max="13827" width="60.140625" style="96" bestFit="1" customWidth="1"/>
    <col min="13828" max="13828" width="14.85546875" style="96" bestFit="1" customWidth="1"/>
    <col min="13829" max="13829" width="12.42578125" style="96" bestFit="1" customWidth="1"/>
    <col min="13830" max="14081" width="9.140625" style="96"/>
    <col min="14082" max="14082" width="10.140625" style="96" bestFit="1" customWidth="1"/>
    <col min="14083" max="14083" width="60.140625" style="96" bestFit="1" customWidth="1"/>
    <col min="14084" max="14084" width="14.85546875" style="96" bestFit="1" customWidth="1"/>
    <col min="14085" max="14085" width="12.42578125" style="96" bestFit="1" customWidth="1"/>
    <col min="14086" max="14337" width="9.140625" style="96"/>
    <col min="14338" max="14338" width="10.140625" style="96" bestFit="1" customWidth="1"/>
    <col min="14339" max="14339" width="60.140625" style="96" bestFit="1" customWidth="1"/>
    <col min="14340" max="14340" width="14.85546875" style="96" bestFit="1" customWidth="1"/>
    <col min="14341" max="14341" width="12.42578125" style="96" bestFit="1" customWidth="1"/>
    <col min="14342" max="14593" width="9.140625" style="96"/>
    <col min="14594" max="14594" width="10.140625" style="96" bestFit="1" customWidth="1"/>
    <col min="14595" max="14595" width="60.140625" style="96" bestFit="1" customWidth="1"/>
    <col min="14596" max="14596" width="14.85546875" style="96" bestFit="1" customWidth="1"/>
    <col min="14597" max="14597" width="12.42578125" style="96" bestFit="1" customWidth="1"/>
    <col min="14598" max="14849" width="9.140625" style="96"/>
    <col min="14850" max="14850" width="10.140625" style="96" bestFit="1" customWidth="1"/>
    <col min="14851" max="14851" width="60.140625" style="96" bestFit="1" customWidth="1"/>
    <col min="14852" max="14852" width="14.85546875" style="96" bestFit="1" customWidth="1"/>
    <col min="14853" max="14853" width="12.42578125" style="96" bestFit="1" customWidth="1"/>
    <col min="14854" max="15105" width="9.140625" style="96"/>
    <col min="15106" max="15106" width="10.140625" style="96" bestFit="1" customWidth="1"/>
    <col min="15107" max="15107" width="60.140625" style="96" bestFit="1" customWidth="1"/>
    <col min="15108" max="15108" width="14.85546875" style="96" bestFit="1" customWidth="1"/>
    <col min="15109" max="15109" width="12.42578125" style="96" bestFit="1" customWidth="1"/>
    <col min="15110" max="15361" width="9.140625" style="96"/>
    <col min="15362" max="15362" width="10.140625" style="96" bestFit="1" customWidth="1"/>
    <col min="15363" max="15363" width="60.140625" style="96" bestFit="1" customWidth="1"/>
    <col min="15364" max="15364" width="14.85546875" style="96" bestFit="1" customWidth="1"/>
    <col min="15365" max="15365" width="12.42578125" style="96" bestFit="1" customWidth="1"/>
    <col min="15366" max="15617" width="9.140625" style="96"/>
    <col min="15618" max="15618" width="10.140625" style="96" bestFit="1" customWidth="1"/>
    <col min="15619" max="15619" width="60.140625" style="96" bestFit="1" customWidth="1"/>
    <col min="15620" max="15620" width="14.85546875" style="96" bestFit="1" customWidth="1"/>
    <col min="15621" max="15621" width="12.42578125" style="96" bestFit="1" customWidth="1"/>
    <col min="15622" max="15873" width="9.140625" style="96"/>
    <col min="15874" max="15874" width="10.140625" style="96" bestFit="1" customWidth="1"/>
    <col min="15875" max="15875" width="60.140625" style="96" bestFit="1" customWidth="1"/>
    <col min="15876" max="15876" width="14.85546875" style="96" bestFit="1" customWidth="1"/>
    <col min="15877" max="15877" width="12.42578125" style="96" bestFit="1" customWidth="1"/>
    <col min="15878" max="16129" width="9.140625" style="96"/>
    <col min="16130" max="16130" width="10.140625" style="96" bestFit="1" customWidth="1"/>
    <col min="16131" max="16131" width="60.140625" style="96" bestFit="1" customWidth="1"/>
    <col min="16132" max="16132" width="14.85546875" style="96" bestFit="1" customWidth="1"/>
    <col min="16133" max="16133" width="12.42578125" style="96" bestFit="1" customWidth="1"/>
    <col min="16134" max="16384" width="9.140625" style="96"/>
  </cols>
  <sheetData>
    <row r="1" spans="1:5" ht="13.5" thickBot="1" x14ac:dyDescent="0.25">
      <c r="A1" s="242" t="s">
        <v>406</v>
      </c>
      <c r="B1" s="71" t="s">
        <v>572</v>
      </c>
      <c r="C1" s="71" t="s">
        <v>444</v>
      </c>
      <c r="D1" s="71" t="s">
        <v>332</v>
      </c>
      <c r="E1" s="168" t="s">
        <v>164</v>
      </c>
    </row>
    <row r="2" spans="1:5" x14ac:dyDescent="0.2">
      <c r="A2" s="189" t="s">
        <v>520</v>
      </c>
      <c r="B2" s="155">
        <v>43053</v>
      </c>
      <c r="C2" s="265" t="s">
        <v>217</v>
      </c>
      <c r="D2" s="129" t="s">
        <v>165</v>
      </c>
      <c r="E2" s="129" t="s">
        <v>417</v>
      </c>
    </row>
    <row r="3" spans="1:5" x14ac:dyDescent="0.2">
      <c r="A3" s="80" t="s">
        <v>38</v>
      </c>
      <c r="B3" s="156">
        <v>45183</v>
      </c>
      <c r="C3" s="192" t="s">
        <v>89</v>
      </c>
      <c r="D3" s="80" t="s">
        <v>375</v>
      </c>
      <c r="E3" s="80" t="s">
        <v>269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17</vt:i4>
      </vt:variant>
    </vt:vector>
  </HeadingPairs>
  <TitlesOfParts>
    <vt:vector size="22" baseType="lpstr">
      <vt:lpstr>Sheet1</vt:lpstr>
      <vt:lpstr>Data</vt:lpstr>
      <vt:lpstr>Calcs</vt:lpstr>
      <vt:lpstr>Material</vt:lpstr>
      <vt:lpstr>Revision List</vt:lpstr>
      <vt:lpstr>BuildForDXFOutput</vt:lpstr>
      <vt:lpstr>FLOOR_X_LENGTH</vt:lpstr>
      <vt:lpstr>FLOOR_Z_LENGTH</vt:lpstr>
      <vt:lpstr>FloorXLength</vt:lpstr>
      <vt:lpstr>FloorZLength</vt:lpstr>
      <vt:lpstr>FrontOverlapLength</vt:lpstr>
      <vt:lpstr>HasFrontOverlap</vt:lpstr>
      <vt:lpstr>HasLeftOverlap</vt:lpstr>
      <vt:lpstr>HasRearOverlap</vt:lpstr>
      <vt:lpstr>HasRightOverlap</vt:lpstr>
      <vt:lpstr>LeftOverlapLength</vt:lpstr>
      <vt:lpstr>MAT_LOOKUP</vt:lpstr>
      <vt:lpstr>MaterialType</vt:lpstr>
      <vt:lpstr>Mtl_Gauge</vt:lpstr>
      <vt:lpstr>PanelLinerMaterialGage</vt:lpstr>
      <vt:lpstr>RearOverlapLength</vt:lpstr>
      <vt:lpstr>RightOverlapLength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Brown</cp:lastModifiedBy>
  <dcterms:modified xsi:type="dcterms:W3CDTF">2025-08-07T11:16:32Z</dcterms:modified>
</cp:coreProperties>
</file>